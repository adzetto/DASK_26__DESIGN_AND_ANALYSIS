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DASK_NEW\"/>
    </mc:Choice>
  </mc:AlternateContent>
  <xr:revisionPtr revIDLastSave="0" documentId="13_ncr:1_{006F124C-9E32-42D7-AC94-E28F3B59BF8F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OZET" sheetId="1" r:id="rId1"/>
    <sheet name="MODEL (cm)" sheetId="2" r:id="rId2"/>
    <sheet name="GERCEK (m)" sheetId="3" r:id="rId3"/>
    <sheet name="KÖPRÜ DETAY" sheetId="4" r:id="rId4"/>
    <sheet name="GRID" sheetId="5" r:id="rId5"/>
    <sheet name="KAT YÜKSEKLİKLERİ" sheetId="6" r:id="rId6"/>
    <sheet name="KULLANIM PLANI" sheetId="7" r:id="rId7"/>
    <sheet name="AUTOCAD ÖLÇÜM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8" l="1"/>
  <c r="H29" i="8" s="1"/>
  <c r="F29" i="8"/>
  <c r="E29" i="8"/>
  <c r="D29" i="8"/>
  <c r="C29" i="8"/>
  <c r="G30" i="7"/>
  <c r="F30" i="7"/>
  <c r="E30" i="7"/>
  <c r="G11" i="4"/>
  <c r="F11" i="4"/>
  <c r="E11" i="4"/>
  <c r="J28" i="3"/>
  <c r="I28" i="3"/>
  <c r="H28" i="3"/>
  <c r="G28" i="3"/>
  <c r="F28" i="3"/>
  <c r="E28" i="3"/>
  <c r="D28" i="3"/>
  <c r="J28" i="2"/>
  <c r="I28" i="2"/>
  <c r="H28" i="2"/>
  <c r="G28" i="2"/>
  <c r="F28" i="2"/>
  <c r="E28" i="2"/>
  <c r="D28" i="2"/>
  <c r="J29" i="1"/>
  <c r="I29" i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<sst xmlns="http://schemas.openxmlformats.org/spreadsheetml/2006/main" count="310" uniqueCount="177">
  <si>
    <t>DASK 2026 - GÜRSOY TOWERS ALAN HESABI (V10e)</t>
  </si>
  <si>
    <t>Yapısal Grid: twin_position_matrix_v10e.csv | Ölçek 1:50 | 1680 Düğüm | 25 Kat + Taban</t>
  </si>
  <si>
    <t>Kat</t>
  </si>
  <si>
    <t>Plan Tipi</t>
  </si>
  <si>
    <t>Kullanım</t>
  </si>
  <si>
    <t>Kule A
(cm²)</t>
  </si>
  <si>
    <t>Kule B
(cm²)</t>
  </si>
  <si>
    <t>Köprü
(cm²)</t>
  </si>
  <si>
    <t>Brüt Toplam
(cm²)</t>
  </si>
  <si>
    <t>Brüt Toplam
(m²)</t>
  </si>
  <si>
    <t>Net Alan
(cm²)</t>
  </si>
  <si>
    <t>Net Alan
(m²)</t>
  </si>
  <si>
    <t>Zemin</t>
  </si>
  <si>
    <t>Ana giriş lobisi, resepsiyon, güvenlik kontrol, danışma masası, dijital sergi galerisi, ATM/banka şubesi</t>
  </si>
  <si>
    <t>Ticari-1</t>
  </si>
  <si>
    <t>A: Café &amp; fine-dining restoran, flagship mağaza, co-working lounge | B: Banka operasyon merkezi, müşteri hizmetleri</t>
  </si>
  <si>
    <t>Ticari-2</t>
  </si>
  <si>
    <t>A: Konferans merkezi (200 kişi), etkinlik salonu, basın odası | B: Eğitim &amp; seminer salonu, atölye alanları</t>
  </si>
  <si>
    <t>Spor</t>
  </si>
  <si>
    <t>Fitness &amp; spa merkezi, kapalı yüzme havuzu, squash kortu, yoga/pilates stüdyosu, soyunma odaları</t>
  </si>
  <si>
    <t>Tip-A</t>
  </si>
  <si>
    <t>Açık plan ofis (yüksek yoğunluk), hot-desk alanları, çalışan kafeteryası, IT destek birimi</t>
  </si>
  <si>
    <t>Köprü-1</t>
  </si>
  <si>
    <t>KÖPRÜ-1 (GASTRONOMİ): Panoramik restoran, sky bar, açık hava terası, İstanbul Boğazı manzarası</t>
  </si>
  <si>
    <t>Açık plan ofis, toplantı odaları (4-12 kişi), breakout dinlenme alanları, mini mutfak</t>
  </si>
  <si>
    <t>Açık plan ofis, sessiz çalışma bölmeleri, telefon kabinleri, odaklanma odaları, arşiv</t>
  </si>
  <si>
    <t>Açık plan ofis, 4 köşe yönetici ofisi, ana toplantı salonu, resepsiyon alanı</t>
  </si>
  <si>
    <t>Açık plan ofis, proje odaları, beyaz tahta/sunum alanları, çevik çalışma istasyonları</t>
  </si>
  <si>
    <t>Açık plan ofis, küçük toplantı birimleri, çevik (agile) çalışma alanı, takım çalışma adaları</t>
  </si>
  <si>
    <t>Köprü-2</t>
  </si>
  <si>
    <t>KÖPRÜ-2 (İŞ DÜNYASI): VIP toplantı salonu, iş geliştirme merkezi, networking lounge, dijital sunum odası</t>
  </si>
  <si>
    <t>Premium ofis süitleri, bölünebilir açık plan, kiralanabilir bağımsız bölümler, ortak sekreterya</t>
  </si>
  <si>
    <t>Premium ofis: hukuk büroları, finans şirketi süit ofisleri, avukat toplantı odaları, kütüphane</t>
  </si>
  <si>
    <t>Premium ofis: muhasebe/denetim firmaları, danışmanlık süit ofisleri, müşteri kabul salonu</t>
  </si>
  <si>
    <t>Premium ofis: yatırım/portföy yönetimi, fintech süitleri, veri analiz odası, güvenli arşiv</t>
  </si>
  <si>
    <t>Üst düzey yönetici katı: CEO süiti, özel sekreterya, VIP bekleme salonu, yönetim kurulu odası</t>
  </si>
  <si>
    <t>Köprü-3</t>
  </si>
  <si>
    <t>KÖPRÜ-3 (KÜLTÜR &amp; SANAT): Sanat galerisi, kültür merkezi, sky garden, açık hava heykel bahçesi</t>
  </si>
  <si>
    <t>Karma</t>
  </si>
  <si>
    <t>A: Üst düzey yönetici ofisi, özel toplantı | B: 5 yıldızlı butik otel lobisi, concierge, lounge bar</t>
  </si>
  <si>
    <t>A: Üst düzey şirket ofisi, hukuk departmanı | B: Otel standart oda katı (24 oda), oda servisi</t>
  </si>
  <si>
    <t>A: Üst düzey ofis, strateji odası | B: Otel süit oda katı (12 süit), executive lounge</t>
  </si>
  <si>
    <t>Tip-C</t>
  </si>
  <si>
    <t>A: Yönetici ofis süiti, özel spa &amp; dinlenme | B: Otel premium süit, wellness merkezi, jakuzi</t>
  </si>
  <si>
    <t>Tip-D</t>
  </si>
  <si>
    <t>A: CEO süiti, yönetim kurulu salonu (boardroom) | B: Presidential süit, özel yemek salonu, şömine</t>
  </si>
  <si>
    <t>Tip-E</t>
  </si>
  <si>
    <t>A: Penthouse ofis, VIP kabul salonu, özel teras | B: Penthouse rezidans, kış bahçesi, açık teras</t>
  </si>
  <si>
    <t>Tip-A + Köprü-4</t>
  </si>
  <si>
    <t>KÖPRÜ-4 (SKY LOUNGE): 360° panorama bar, helipad, çatı teras restoranı, gözlem platformu</t>
  </si>
  <si>
    <t>TOPLAM (25 KAT)</t>
  </si>
  <si>
    <t>GENEL İSTATİSTİKLER</t>
  </si>
  <si>
    <t>Toplam Kat Sayısı</t>
  </si>
  <si>
    <t>25 kat</t>
  </si>
  <si>
    <t>Toplam Düğüm (V10e)</t>
  </si>
  <si>
    <t>1680 adet</t>
  </si>
  <si>
    <t>Kule Plan Boyutu (model)</t>
  </si>
  <si>
    <t>30 x 16 cm</t>
  </si>
  <si>
    <t>Kule Plan Boyutu (gerçek)</t>
  </si>
  <si>
    <t>15 x 8 m</t>
  </si>
  <si>
    <t>Zemin Kat Yüksekliği (model/gerçek)</t>
  </si>
  <si>
    <t>9 cm / 4.5 m</t>
  </si>
  <si>
    <t>Tipik Kat Yüksekliği (model/gerçek)</t>
  </si>
  <si>
    <t>6 cm / 3.0 m</t>
  </si>
  <si>
    <t>Toplam Yükseklik (model/gerçek)</t>
  </si>
  <si>
    <t>153 cm / 76.5 m</t>
  </si>
  <si>
    <t>Kuleler Arası Mesafe (model/gerçek)</t>
  </si>
  <si>
    <t>8 cm / 4.0 m</t>
  </si>
  <si>
    <t>Köprü Katları</t>
  </si>
  <si>
    <t>6, 12, 18, 24-25</t>
  </si>
  <si>
    <t>Köprü Boyutu (model/gerçek)</t>
  </si>
  <si>
    <t>8 x 8 cm / 4 x 4 m</t>
  </si>
  <si>
    <t>Ölçek Faktörü</t>
  </si>
  <si>
    <t>1:50</t>
  </si>
  <si>
    <t>Alan Ölçek Çarpanı</t>
  </si>
  <si>
    <t>x 2500 (50²)</t>
  </si>
  <si>
    <t>MODEL ÖLÇEK ALAN DETAYI (cm)</t>
  </si>
  <si>
    <t>Z
(cm)</t>
  </si>
  <si>
    <t>h
(cm)</t>
  </si>
  <si>
    <t>Brüt
(cm²)</t>
  </si>
  <si>
    <t>Çekirdek
(cm²)</t>
  </si>
  <si>
    <t>Verim
(%)</t>
  </si>
  <si>
    <t>Net
(cm²)</t>
  </si>
  <si>
    <t>GERÇEK ÖLÇEK ALAN DETAYI (m) - 1:50</t>
  </si>
  <si>
    <t>Z
(m)</t>
  </si>
  <si>
    <t>h
(m)</t>
  </si>
  <si>
    <t>Kule A
(m²)</t>
  </si>
  <si>
    <t>Kule B
(m²)</t>
  </si>
  <si>
    <t>Köprü
(m²)</t>
  </si>
  <si>
    <t>Çekirdek
(m²)</t>
  </si>
  <si>
    <t>Net Toplam
(m²)</t>
  </si>
  <si>
    <t>TOPLAM</t>
  </si>
  <si>
    <t>KÖPRÜ KATLARI DETAY ANALİZİ</t>
  </si>
  <si>
    <t>Z (cm)</t>
  </si>
  <si>
    <t>Köprü X
(cm)</t>
  </si>
  <si>
    <t>Köprü Y
(cm)</t>
  </si>
  <si>
    <t>Köprü Alan
(cm²)</t>
  </si>
  <si>
    <t>Köprü Alan
(m²)</t>
  </si>
  <si>
    <t>Kat Toplam
(cm²)</t>
  </si>
  <si>
    <t>YAPISAL GRİD KOORDİNATLARI (V10e)</t>
  </si>
  <si>
    <t>KULE A - X Koordinatları</t>
  </si>
  <si>
    <t>KULE A - Y Koordinatları</t>
  </si>
  <si>
    <t>Kolon No</t>
  </si>
  <si>
    <t>X (cm)</t>
  </si>
  <si>
    <t>X (m)</t>
  </si>
  <si>
    <t>Y (cm)</t>
  </si>
  <si>
    <t>Y (m)</t>
  </si>
  <si>
    <t>X Açıklıkları</t>
  </si>
  <si>
    <t>1-2</t>
  </si>
  <si>
    <t>2-3</t>
  </si>
  <si>
    <t>3-4</t>
  </si>
  <si>
    <t>4-5</t>
  </si>
  <si>
    <t>5-6</t>
  </si>
  <si>
    <t>6-7</t>
  </si>
  <si>
    <t>7-8</t>
  </si>
  <si>
    <t>KAT YÜKSEKLİKLERİ ve KÜMÜLATİF YÜKSEKLİK</t>
  </si>
  <si>
    <t>Z (m)</t>
  </si>
  <si>
    <t>h (cm)</t>
  </si>
  <si>
    <t>h (m)</t>
  </si>
  <si>
    <t>Küm. h (cm)</t>
  </si>
  <si>
    <t>Küm. h (m)</t>
  </si>
  <si>
    <t>GÜRSOY TOWERS - İFM MİMARİ KULLANIM PROGRAMI</t>
  </si>
  <si>
    <t>İstanbul Finans Merkezi | Kule A: Ofis+Ticaret | Kule B: Ofis (alt) + Otel/Rezidans (üst) | 4 Köprü: Gastronomi, İş, Kültür, Sky Lounge</t>
  </si>
  <si>
    <t>Zon</t>
  </si>
  <si>
    <t>Kullanım Amacı (Kule A | Kule B)</t>
  </si>
  <si>
    <t>AutoCAD
(m²)</t>
  </si>
  <si>
    <t>Grid
(m²)</t>
  </si>
  <si>
    <t>Oran
(%)</t>
  </si>
  <si>
    <t>-</t>
  </si>
  <si>
    <t>Temel katı (sabit mesnet, betonarme radye temel)</t>
  </si>
  <si>
    <t>LOBİ</t>
  </si>
  <si>
    <t>TİCARİ</t>
  </si>
  <si>
    <t>SOSYAL</t>
  </si>
  <si>
    <t>OFİS-A</t>
  </si>
  <si>
    <t>KÖPRÜ</t>
  </si>
  <si>
    <t>OFİS-B</t>
  </si>
  <si>
    <t>OFİS-C</t>
  </si>
  <si>
    <t>OFİS-C / OTEL</t>
  </si>
  <si>
    <t>PREMİUM</t>
  </si>
  <si>
    <t>PENTHOUSE</t>
  </si>
  <si>
    <t>SKY LOUNGE</t>
  </si>
  <si>
    <t>ZON BAZLI ALAN DAĞITIMI</t>
  </si>
  <si>
    <t>Katlar</t>
  </si>
  <si>
    <t>Kat Sayısı</t>
  </si>
  <si>
    <t>AutoCAD (m²)</t>
  </si>
  <si>
    <t>Grid (m²)</t>
  </si>
  <si>
    <t>Oran (%)</t>
  </si>
  <si>
    <t>1</t>
  </si>
  <si>
    <t>2,3</t>
  </si>
  <si>
    <t>4</t>
  </si>
  <si>
    <t>5,7,8,9,10,11</t>
  </si>
  <si>
    <t>6,12,18</t>
  </si>
  <si>
    <t>13,14,15,16</t>
  </si>
  <si>
    <t>17</t>
  </si>
  <si>
    <t>19,20,21</t>
  </si>
  <si>
    <t>22,23</t>
  </si>
  <si>
    <t>24</t>
  </si>
  <si>
    <t>25</t>
  </si>
  <si>
    <t>AUTOCAD V2 ÖLÇÜM vs YAPISAL GRİD KARŞILAŞTIRMASI</t>
  </si>
  <si>
    <t>Kaynak: 21.01_V2.dwg (gerçek ölçek, m) | Kat 23: 158.68 m²/kule | Kat 25: 149.68 m²/kule | Grid: 15x8=120 m²/kule</t>
  </si>
  <si>
    <t>Grid
(m²/kule)</t>
  </si>
  <si>
    <t>AutoCAD
(m²/kule)</t>
  </si>
  <si>
    <t>Kenar Fark
(m²/kule)</t>
  </si>
  <si>
    <t>Toplam Grid
(m²)</t>
  </si>
  <si>
    <t>Toplam AutoCAD
(m²)</t>
  </si>
  <si>
    <t>Fark
(%)</t>
  </si>
  <si>
    <t>AUTOCAD ÖLÇÜM ÖZETİ</t>
  </si>
  <si>
    <t>Tipik plan (Kat 25) AutoCAD ölçümü</t>
  </si>
  <si>
    <t>149.68 m²/kule</t>
  </si>
  <si>
    <t>Angular köşe (Kat 23) AutoCAD ölçümü</t>
  </si>
  <si>
    <t>158.68 m²/kule</t>
  </si>
  <si>
    <t>Yapısal grid alanı (15x8)</t>
  </si>
  <si>
    <t>120.00 m²/kule</t>
  </si>
  <si>
    <t>Tipik plan kenar döşeme fazlası</t>
  </si>
  <si>
    <t>+29.68 m²/kule (+24.7%)</t>
  </si>
  <si>
    <t>Angular köşe kenar döşeme fazlası</t>
  </si>
  <si>
    <t>+38.68 m²/kule (+32.2%)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</si>
</sst>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7" formatCode="\+0.0%;\-0.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8B6914"/>
      <name val="Calibri"/>
    </font>
    <font>
      <b/>
      <sz val="12"/>
      <color rgb="FFFFFFFF"/>
      <name val="Calibri"/>
    </font>
    <font>
      <b/>
      <sz val="10"/>
      <color rgb="FF1B2A4A"/>
      <name val="Calibri"/>
    </font>
    <font>
      <b/>
      <sz val="10"/>
      <color rgb="FF333333"/>
      <name val="Calibri"/>
    </font>
    <font>
      <i/>
      <sz val="9"/>
      <color rgb="FF2E7D32"/>
      <name val="Calibri"/>
    </font>
    <font>
      <i/>
      <sz val="9"/>
      <color rgb="FF8B4513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F5F5"/>
      </patternFill>
    </fill>
    <fill>
      <patternFill patternType="solid">
        <fgColor rgb="FF3B599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C3E6B"/>
      </patternFill>
    </fill>
    <fill>
      <patternFill patternType="solid">
        <fgColor rgb="FFD6E4F0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4B942"/>
      </patternFill>
    </fill>
    <fill>
      <patternFill patternType="solid">
        <fgColor rgb="FFFFF3E0"/>
      </patternFill>
    </fill>
    <fill>
      <patternFill patternType="solid">
        <fgColor rgb="FFC0392B"/>
      </patternFill>
    </fill>
    <fill>
      <patternFill patternType="solid">
        <fgColor rgb="FF8E44AD"/>
      </patternFill>
    </fill>
    <fill>
      <patternFill patternType="solid">
        <fgColor rgb="FF27AE60"/>
      </patternFill>
    </fill>
    <fill>
      <patternFill patternType="solid">
        <fgColor rgb="FFE0E0E0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B2EBF2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F3E5F5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4" fontId="5" fillId="6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0" fillId="2" borderId="0" xfId="0" applyFill="1"/>
    <xf numFmtId="165" fontId="3" fillId="2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right" vertical="center"/>
    </xf>
    <xf numFmtId="165" fontId="4" fillId="10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  <xf numFmtId="164" fontId="3" fillId="9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4" fontId="5" fillId="12" borderId="1" xfId="0" applyNumberFormat="1" applyFont="1" applyFill="1" applyBorder="1" applyAlignment="1">
      <alignment horizontal="center" vertical="center" wrapText="1"/>
    </xf>
    <xf numFmtId="164" fontId="5" fillId="12" borderId="1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0" fillId="11" borderId="0" xfId="0" applyFill="1"/>
    <xf numFmtId="4" fontId="3" fillId="11" borderId="1" xfId="0" applyNumberFormat="1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6" fontId="8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164" fontId="4" fillId="16" borderId="1" xfId="0" applyNumberFormat="1" applyFont="1" applyFill="1" applyBorder="1" applyAlignment="1">
      <alignment horizontal="right" vertical="center"/>
    </xf>
    <xf numFmtId="165" fontId="4" fillId="16" borderId="1" xfId="0" applyNumberFormat="1" applyFont="1" applyFill="1" applyBorder="1" applyAlignment="1">
      <alignment horizontal="right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164" fontId="4" fillId="17" borderId="1" xfId="0" applyNumberFormat="1" applyFont="1" applyFill="1" applyBorder="1" applyAlignment="1">
      <alignment horizontal="right" vertical="center"/>
    </xf>
    <xf numFmtId="165" fontId="4" fillId="17" borderId="1" xfId="0" applyNumberFormat="1" applyFont="1" applyFill="1" applyBorder="1" applyAlignment="1">
      <alignment horizontal="right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164" fontId="4" fillId="18" borderId="1" xfId="0" applyNumberFormat="1" applyFont="1" applyFill="1" applyBorder="1" applyAlignment="1">
      <alignment horizontal="right" vertical="center"/>
    </xf>
    <xf numFmtId="165" fontId="4" fillId="18" borderId="1" xfId="0" applyNumberFormat="1" applyFont="1" applyFill="1" applyBorder="1" applyAlignment="1">
      <alignment horizontal="right" vertical="center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 wrapText="1"/>
    </xf>
    <xf numFmtId="164" fontId="4" fillId="19" borderId="1" xfId="0" applyNumberFormat="1" applyFont="1" applyFill="1" applyBorder="1" applyAlignment="1">
      <alignment horizontal="right" vertical="center"/>
    </xf>
    <xf numFmtId="165" fontId="4" fillId="19" borderId="1" xfId="0" applyNumberFormat="1" applyFont="1" applyFill="1" applyBorder="1" applyAlignment="1">
      <alignment horizontal="right" vertical="center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164" fontId="4" fillId="20" borderId="1" xfId="0" applyNumberFormat="1" applyFont="1" applyFill="1" applyBorder="1" applyAlignment="1">
      <alignment horizontal="right" vertical="center"/>
    </xf>
    <xf numFmtId="165" fontId="4" fillId="20" borderId="1" xfId="0" applyNumberFormat="1" applyFont="1" applyFill="1" applyBorder="1" applyAlignment="1">
      <alignment horizontal="right" vertical="center"/>
    </xf>
    <xf numFmtId="0" fontId="4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left" vertical="center" wrapText="1"/>
    </xf>
    <xf numFmtId="164" fontId="4" fillId="21" borderId="1" xfId="0" applyNumberFormat="1" applyFont="1" applyFill="1" applyBorder="1" applyAlignment="1">
      <alignment horizontal="right" vertical="center"/>
    </xf>
    <xf numFmtId="165" fontId="4" fillId="21" borderId="1" xfId="0" applyNumberFormat="1" applyFont="1" applyFill="1" applyBorder="1" applyAlignment="1">
      <alignment horizontal="right" vertical="center"/>
    </xf>
    <xf numFmtId="0" fontId="4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center" wrapText="1"/>
    </xf>
    <xf numFmtId="164" fontId="4" fillId="22" borderId="1" xfId="0" applyNumberFormat="1" applyFont="1" applyFill="1" applyBorder="1" applyAlignment="1">
      <alignment horizontal="right" vertical="center"/>
    </xf>
    <xf numFmtId="165" fontId="4" fillId="22" borderId="1" xfId="0" applyNumberFormat="1" applyFont="1" applyFill="1" applyBorder="1" applyAlignment="1">
      <alignment horizontal="right" vertical="center"/>
    </xf>
    <xf numFmtId="0" fontId="4" fillId="2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left" vertical="center" wrapText="1"/>
    </xf>
    <xf numFmtId="164" fontId="4" fillId="23" borderId="1" xfId="0" applyNumberFormat="1" applyFont="1" applyFill="1" applyBorder="1" applyAlignment="1">
      <alignment horizontal="right" vertical="center"/>
    </xf>
    <xf numFmtId="165" fontId="4" fillId="23" borderId="1" xfId="0" applyNumberFormat="1" applyFont="1" applyFill="1" applyBorder="1" applyAlignment="1">
      <alignment horizontal="right" vertical="center"/>
    </xf>
    <xf numFmtId="0" fontId="4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left" vertical="center" wrapText="1"/>
    </xf>
    <xf numFmtId="164" fontId="4" fillId="24" borderId="1" xfId="0" applyNumberFormat="1" applyFont="1" applyFill="1" applyBorder="1" applyAlignment="1">
      <alignment horizontal="right" vertical="center"/>
    </xf>
    <xf numFmtId="165" fontId="4" fillId="24" borderId="1" xfId="0" applyNumberFormat="1" applyFont="1" applyFill="1" applyBorder="1" applyAlignment="1">
      <alignment horizontal="right" vertical="center"/>
    </xf>
    <xf numFmtId="0" fontId="4" fillId="2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left" vertical="center" wrapText="1"/>
    </xf>
    <xf numFmtId="164" fontId="4" fillId="25" borderId="1" xfId="0" applyNumberFormat="1" applyFont="1" applyFill="1" applyBorder="1" applyAlignment="1">
      <alignment horizontal="right" vertical="center"/>
    </xf>
    <xf numFmtId="165" fontId="4" fillId="25" borderId="1" xfId="0" applyNumberFormat="1" applyFont="1" applyFill="1" applyBorder="1" applyAlignment="1">
      <alignment horizontal="right" vertical="center"/>
    </xf>
    <xf numFmtId="0" fontId="4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left" vertical="center" wrapText="1"/>
    </xf>
    <xf numFmtId="164" fontId="4" fillId="26" borderId="1" xfId="0" applyNumberFormat="1" applyFont="1" applyFill="1" applyBorder="1" applyAlignment="1">
      <alignment horizontal="right" vertical="center"/>
    </xf>
    <xf numFmtId="165" fontId="4" fillId="26" borderId="1" xfId="0" applyNumberFormat="1" applyFont="1" applyFill="1" applyBorder="1" applyAlignment="1">
      <alignment horizontal="right" vertical="center"/>
    </xf>
    <xf numFmtId="164" fontId="3" fillId="15" borderId="1" xfId="0" applyNumberFormat="1" applyFont="1" applyFill="1" applyBorder="1" applyAlignment="1">
      <alignment horizontal="right" vertical="center"/>
    </xf>
    <xf numFmtId="165" fontId="3" fillId="15" borderId="1" xfId="0" applyNumberFormat="1" applyFont="1" applyFill="1" applyBorder="1" applyAlignment="1">
      <alignment horizontal="right" vertical="center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0" fontId="8" fillId="21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164" fontId="4" fillId="12" borderId="1" xfId="0" applyNumberFormat="1" applyFont="1" applyFill="1" applyBorder="1" applyAlignment="1">
      <alignment horizontal="right" vertical="center"/>
    </xf>
    <xf numFmtId="167" fontId="4" fillId="12" borderId="1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64" fontId="3" fillId="27" borderId="1" xfId="0" applyNumberFormat="1" applyFont="1" applyFill="1" applyBorder="1" applyAlignment="1">
      <alignment horizontal="right" vertical="center"/>
    </xf>
    <xf numFmtId="167" fontId="3" fillId="27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/>
    <xf numFmtId="0" fontId="8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6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" fillId="2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J43"/>
  <sheetViews>
    <sheetView topLeftCell="A13" workbookViewId="0">
      <selection activeCell="H5" sqref="H5"/>
    </sheetView>
  </sheetViews>
  <sheetFormatPr defaultRowHeight="14.4" x14ac:dyDescent="0.3"/>
  <cols>
    <col min="1" max="1" width="3.77734375" bestFit="1" customWidth="1"/>
    <col min="2" max="2" width="13.109375" bestFit="1" customWidth="1"/>
    <col min="3" max="3" width="19.88671875" bestFit="1" customWidth="1"/>
    <col min="4" max="5" width="9.109375" bestFit="1" customWidth="1"/>
    <col min="6" max="6" width="6.5546875" bestFit="1" customWidth="1"/>
    <col min="7" max="8" width="11.33203125" bestFit="1" customWidth="1"/>
    <col min="9" max="9" width="9.109375" bestFit="1" customWidth="1"/>
    <col min="10" max="10" width="8.21875" bestFit="1" customWidth="1"/>
  </cols>
  <sheetData>
    <row r="1" spans="1:10" ht="34.950000000000003" customHeight="1" x14ac:dyDescent="0.3">
      <c r="A1" s="129" t="s">
        <v>0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19.95" customHeight="1" x14ac:dyDescent="0.3">
      <c r="A2" s="130" t="s">
        <v>1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0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82.8" x14ac:dyDescent="0.3">
      <c r="A4" s="2">
        <v>1</v>
      </c>
      <c r="B4" s="3" t="s">
        <v>12</v>
      </c>
      <c r="C4" s="3" t="s">
        <v>13</v>
      </c>
      <c r="D4" s="4">
        <v>480</v>
      </c>
      <c r="E4" s="4">
        <v>480</v>
      </c>
      <c r="F4" s="4">
        <v>0</v>
      </c>
      <c r="G4" s="4">
        <v>960</v>
      </c>
      <c r="H4" s="5">
        <v>240</v>
      </c>
      <c r="I4" s="4">
        <v>931.84</v>
      </c>
      <c r="J4" s="5">
        <v>232.96</v>
      </c>
    </row>
    <row r="5" spans="1:10" ht="82.8" x14ac:dyDescent="0.3">
      <c r="A5" s="6">
        <v>2</v>
      </c>
      <c r="B5" s="7" t="s">
        <v>14</v>
      </c>
      <c r="C5" s="7" t="s">
        <v>15</v>
      </c>
      <c r="D5" s="8">
        <v>480</v>
      </c>
      <c r="E5" s="8">
        <v>480</v>
      </c>
      <c r="F5" s="8">
        <v>0</v>
      </c>
      <c r="G5" s="8">
        <v>960</v>
      </c>
      <c r="H5" s="9">
        <v>240</v>
      </c>
      <c r="I5" s="8">
        <v>931.84</v>
      </c>
      <c r="J5" s="9">
        <v>232.96</v>
      </c>
    </row>
    <row r="6" spans="1:10" ht="69" x14ac:dyDescent="0.3">
      <c r="A6" s="2">
        <v>3</v>
      </c>
      <c r="B6" s="3" t="s">
        <v>16</v>
      </c>
      <c r="C6" s="3" t="s">
        <v>17</v>
      </c>
      <c r="D6" s="4">
        <v>480</v>
      </c>
      <c r="E6" s="4">
        <v>480</v>
      </c>
      <c r="F6" s="4">
        <v>0</v>
      </c>
      <c r="G6" s="4">
        <v>960</v>
      </c>
      <c r="H6" s="5">
        <v>240</v>
      </c>
      <c r="I6" s="4">
        <v>931.84</v>
      </c>
      <c r="J6" s="5">
        <v>232.96</v>
      </c>
    </row>
    <row r="7" spans="1:10" ht="69" x14ac:dyDescent="0.3">
      <c r="A7" s="6">
        <v>4</v>
      </c>
      <c r="B7" s="7" t="s">
        <v>18</v>
      </c>
      <c r="C7" s="7" t="s">
        <v>19</v>
      </c>
      <c r="D7" s="8">
        <v>480</v>
      </c>
      <c r="E7" s="8">
        <v>480</v>
      </c>
      <c r="F7" s="8">
        <v>0</v>
      </c>
      <c r="G7" s="8">
        <v>960</v>
      </c>
      <c r="H7" s="9">
        <v>240</v>
      </c>
      <c r="I7" s="8">
        <v>931.84</v>
      </c>
      <c r="J7" s="9">
        <v>232.96</v>
      </c>
    </row>
    <row r="8" spans="1:10" ht="69" x14ac:dyDescent="0.3">
      <c r="A8" s="10">
        <v>5</v>
      </c>
      <c r="B8" s="11" t="s">
        <v>20</v>
      </c>
      <c r="C8" s="11" t="s">
        <v>21</v>
      </c>
      <c r="D8" s="12">
        <v>480</v>
      </c>
      <c r="E8" s="12">
        <v>480</v>
      </c>
      <c r="F8" s="12">
        <v>64</v>
      </c>
      <c r="G8" s="12">
        <v>1024</v>
      </c>
      <c r="H8" s="13">
        <v>256</v>
      </c>
      <c r="I8" s="12">
        <v>993.84</v>
      </c>
      <c r="J8" s="13">
        <v>248.46</v>
      </c>
    </row>
    <row r="9" spans="1:10" ht="82.8" x14ac:dyDescent="0.3">
      <c r="A9" s="10">
        <v>6</v>
      </c>
      <c r="B9" s="11" t="s">
        <v>22</v>
      </c>
      <c r="C9" s="11" t="s">
        <v>23</v>
      </c>
      <c r="D9" s="12">
        <v>480</v>
      </c>
      <c r="E9" s="12">
        <v>480</v>
      </c>
      <c r="F9" s="12">
        <v>64</v>
      </c>
      <c r="G9" s="12">
        <v>1024</v>
      </c>
      <c r="H9" s="13">
        <v>256</v>
      </c>
      <c r="I9" s="12">
        <v>993.84</v>
      </c>
      <c r="J9" s="13">
        <v>248.46</v>
      </c>
    </row>
    <row r="10" spans="1:10" ht="55.2" x14ac:dyDescent="0.3">
      <c r="A10" s="2">
        <v>7</v>
      </c>
      <c r="B10" s="3" t="s">
        <v>20</v>
      </c>
      <c r="C10" s="3" t="s">
        <v>24</v>
      </c>
      <c r="D10" s="4">
        <v>480</v>
      </c>
      <c r="E10" s="4">
        <v>480</v>
      </c>
      <c r="F10" s="4">
        <v>0</v>
      </c>
      <c r="G10" s="4">
        <v>960</v>
      </c>
      <c r="H10" s="5">
        <v>240</v>
      </c>
      <c r="I10" s="4">
        <v>931.84</v>
      </c>
      <c r="J10" s="5">
        <v>232.96</v>
      </c>
    </row>
    <row r="11" spans="1:10" ht="69" x14ac:dyDescent="0.3">
      <c r="A11" s="6">
        <v>8</v>
      </c>
      <c r="B11" s="7" t="s">
        <v>20</v>
      </c>
      <c r="C11" s="7" t="s">
        <v>25</v>
      </c>
      <c r="D11" s="8">
        <v>480</v>
      </c>
      <c r="E11" s="8">
        <v>480</v>
      </c>
      <c r="F11" s="8">
        <v>0</v>
      </c>
      <c r="G11" s="8">
        <v>960</v>
      </c>
      <c r="H11" s="9">
        <v>240</v>
      </c>
      <c r="I11" s="8">
        <v>931.84</v>
      </c>
      <c r="J11" s="9">
        <v>232.96</v>
      </c>
    </row>
    <row r="12" spans="1:10" ht="55.2" x14ac:dyDescent="0.3">
      <c r="A12" s="2">
        <v>9</v>
      </c>
      <c r="B12" s="3" t="s">
        <v>20</v>
      </c>
      <c r="C12" s="3" t="s">
        <v>26</v>
      </c>
      <c r="D12" s="4">
        <v>480</v>
      </c>
      <c r="E12" s="4">
        <v>480</v>
      </c>
      <c r="F12" s="4">
        <v>0</v>
      </c>
      <c r="G12" s="4">
        <v>960</v>
      </c>
      <c r="H12" s="5">
        <v>240</v>
      </c>
      <c r="I12" s="4">
        <v>931.84</v>
      </c>
      <c r="J12" s="5">
        <v>232.96</v>
      </c>
    </row>
    <row r="13" spans="1:10" ht="69" x14ac:dyDescent="0.3">
      <c r="A13" s="6">
        <v>10</v>
      </c>
      <c r="B13" s="7" t="s">
        <v>20</v>
      </c>
      <c r="C13" s="7" t="s">
        <v>27</v>
      </c>
      <c r="D13" s="8">
        <v>480</v>
      </c>
      <c r="E13" s="8">
        <v>480</v>
      </c>
      <c r="F13" s="8">
        <v>0</v>
      </c>
      <c r="G13" s="8">
        <v>960</v>
      </c>
      <c r="H13" s="9">
        <v>240</v>
      </c>
      <c r="I13" s="8">
        <v>931.84</v>
      </c>
      <c r="J13" s="9">
        <v>232.96</v>
      </c>
    </row>
    <row r="14" spans="1:10" ht="55.2" x14ac:dyDescent="0.3">
      <c r="A14" s="10">
        <v>11</v>
      </c>
      <c r="B14" s="11" t="s">
        <v>20</v>
      </c>
      <c r="C14" s="11" t="s">
        <v>28</v>
      </c>
      <c r="D14" s="12">
        <v>480</v>
      </c>
      <c r="E14" s="12">
        <v>480</v>
      </c>
      <c r="F14" s="12">
        <v>64</v>
      </c>
      <c r="G14" s="12">
        <v>1024</v>
      </c>
      <c r="H14" s="13">
        <v>256</v>
      </c>
      <c r="I14" s="12">
        <v>993.84</v>
      </c>
      <c r="J14" s="13">
        <v>248.46</v>
      </c>
    </row>
    <row r="15" spans="1:10" ht="69" x14ac:dyDescent="0.3">
      <c r="A15" s="10">
        <v>12</v>
      </c>
      <c r="B15" s="11" t="s">
        <v>29</v>
      </c>
      <c r="C15" s="11" t="s">
        <v>30</v>
      </c>
      <c r="D15" s="12">
        <v>480</v>
      </c>
      <c r="E15" s="12">
        <v>480</v>
      </c>
      <c r="F15" s="12">
        <v>64</v>
      </c>
      <c r="G15" s="12">
        <v>1024</v>
      </c>
      <c r="H15" s="13">
        <v>256</v>
      </c>
      <c r="I15" s="12">
        <v>993.84</v>
      </c>
      <c r="J15" s="13">
        <v>248.46</v>
      </c>
    </row>
    <row r="16" spans="1:10" ht="69" x14ac:dyDescent="0.3">
      <c r="A16" s="2">
        <v>13</v>
      </c>
      <c r="B16" s="3" t="s">
        <v>20</v>
      </c>
      <c r="C16" s="3" t="s">
        <v>31</v>
      </c>
      <c r="D16" s="4">
        <v>480</v>
      </c>
      <c r="E16" s="4">
        <v>480</v>
      </c>
      <c r="F16" s="4">
        <v>0</v>
      </c>
      <c r="G16" s="4">
        <v>960</v>
      </c>
      <c r="H16" s="5">
        <v>240</v>
      </c>
      <c r="I16" s="4">
        <v>931.84</v>
      </c>
      <c r="J16" s="5">
        <v>232.96</v>
      </c>
    </row>
    <row r="17" spans="1:10" ht="69" x14ac:dyDescent="0.3">
      <c r="A17" s="6">
        <v>14</v>
      </c>
      <c r="B17" s="7" t="s">
        <v>20</v>
      </c>
      <c r="C17" s="7" t="s">
        <v>32</v>
      </c>
      <c r="D17" s="8">
        <v>480</v>
      </c>
      <c r="E17" s="8">
        <v>480</v>
      </c>
      <c r="F17" s="8">
        <v>0</v>
      </c>
      <c r="G17" s="8">
        <v>960</v>
      </c>
      <c r="H17" s="9">
        <v>240</v>
      </c>
      <c r="I17" s="8">
        <v>931.84</v>
      </c>
      <c r="J17" s="9">
        <v>232.96</v>
      </c>
    </row>
    <row r="18" spans="1:10" ht="69" x14ac:dyDescent="0.3">
      <c r="A18" s="2">
        <v>15</v>
      </c>
      <c r="B18" s="3" t="s">
        <v>20</v>
      </c>
      <c r="C18" s="3" t="s">
        <v>33</v>
      </c>
      <c r="D18" s="4">
        <v>480</v>
      </c>
      <c r="E18" s="4">
        <v>480</v>
      </c>
      <c r="F18" s="4">
        <v>0</v>
      </c>
      <c r="G18" s="4">
        <v>960</v>
      </c>
      <c r="H18" s="5">
        <v>240</v>
      </c>
      <c r="I18" s="4">
        <v>931.84</v>
      </c>
      <c r="J18" s="5">
        <v>232.96</v>
      </c>
    </row>
    <row r="19" spans="1:10" ht="69" x14ac:dyDescent="0.3">
      <c r="A19" s="6">
        <v>16</v>
      </c>
      <c r="B19" s="7" t="s">
        <v>20</v>
      </c>
      <c r="C19" s="7" t="s">
        <v>34</v>
      </c>
      <c r="D19" s="8">
        <v>480</v>
      </c>
      <c r="E19" s="8">
        <v>480</v>
      </c>
      <c r="F19" s="8">
        <v>0</v>
      </c>
      <c r="G19" s="8">
        <v>960</v>
      </c>
      <c r="H19" s="9">
        <v>240</v>
      </c>
      <c r="I19" s="8">
        <v>931.84</v>
      </c>
      <c r="J19" s="9">
        <v>232.96</v>
      </c>
    </row>
    <row r="20" spans="1:10" ht="69" x14ac:dyDescent="0.3">
      <c r="A20" s="10">
        <v>17</v>
      </c>
      <c r="B20" s="11" t="s">
        <v>20</v>
      </c>
      <c r="C20" s="11" t="s">
        <v>35</v>
      </c>
      <c r="D20" s="12">
        <v>480</v>
      </c>
      <c r="E20" s="12">
        <v>480</v>
      </c>
      <c r="F20" s="12">
        <v>64</v>
      </c>
      <c r="G20" s="12">
        <v>1024</v>
      </c>
      <c r="H20" s="13">
        <v>256</v>
      </c>
      <c r="I20" s="12">
        <v>993.84</v>
      </c>
      <c r="J20" s="13">
        <v>248.46</v>
      </c>
    </row>
    <row r="21" spans="1:10" ht="69" x14ac:dyDescent="0.3">
      <c r="A21" s="10">
        <v>18</v>
      </c>
      <c r="B21" s="11" t="s">
        <v>36</v>
      </c>
      <c r="C21" s="11" t="s">
        <v>37</v>
      </c>
      <c r="D21" s="12">
        <v>480</v>
      </c>
      <c r="E21" s="12">
        <v>480</v>
      </c>
      <c r="F21" s="12">
        <v>64</v>
      </c>
      <c r="G21" s="12">
        <v>1024</v>
      </c>
      <c r="H21" s="13">
        <v>256</v>
      </c>
      <c r="I21" s="12">
        <v>993.84</v>
      </c>
      <c r="J21" s="13">
        <v>248.46</v>
      </c>
    </row>
    <row r="22" spans="1:10" ht="55.2" x14ac:dyDescent="0.3">
      <c r="A22" s="2">
        <v>19</v>
      </c>
      <c r="B22" s="3" t="s">
        <v>38</v>
      </c>
      <c r="C22" s="3" t="s">
        <v>39</v>
      </c>
      <c r="D22" s="4">
        <v>480</v>
      </c>
      <c r="E22" s="4">
        <v>480</v>
      </c>
      <c r="F22" s="4">
        <v>0</v>
      </c>
      <c r="G22" s="4">
        <v>960</v>
      </c>
      <c r="H22" s="5">
        <v>240</v>
      </c>
      <c r="I22" s="4">
        <v>931.84</v>
      </c>
      <c r="J22" s="5">
        <v>232.96</v>
      </c>
    </row>
    <row r="23" spans="1:10" ht="55.2" x14ac:dyDescent="0.3">
      <c r="A23" s="6">
        <v>20</v>
      </c>
      <c r="B23" s="7" t="s">
        <v>38</v>
      </c>
      <c r="C23" s="7" t="s">
        <v>40</v>
      </c>
      <c r="D23" s="8">
        <v>480</v>
      </c>
      <c r="E23" s="8">
        <v>480</v>
      </c>
      <c r="F23" s="8">
        <v>0</v>
      </c>
      <c r="G23" s="8">
        <v>960</v>
      </c>
      <c r="H23" s="9">
        <v>240</v>
      </c>
      <c r="I23" s="8">
        <v>931.84</v>
      </c>
      <c r="J23" s="9">
        <v>232.96</v>
      </c>
    </row>
    <row r="24" spans="1:10" ht="55.2" x14ac:dyDescent="0.3">
      <c r="A24" s="2">
        <v>21</v>
      </c>
      <c r="B24" s="3" t="s">
        <v>38</v>
      </c>
      <c r="C24" s="3" t="s">
        <v>41</v>
      </c>
      <c r="D24" s="4">
        <v>480</v>
      </c>
      <c r="E24" s="4">
        <v>480</v>
      </c>
      <c r="F24" s="4">
        <v>0</v>
      </c>
      <c r="G24" s="4">
        <v>960</v>
      </c>
      <c r="H24" s="5">
        <v>240</v>
      </c>
      <c r="I24" s="4">
        <v>931.84</v>
      </c>
      <c r="J24" s="5">
        <v>232.96</v>
      </c>
    </row>
    <row r="25" spans="1:10" ht="55.2" x14ac:dyDescent="0.3">
      <c r="A25" s="6">
        <v>22</v>
      </c>
      <c r="B25" s="7" t="s">
        <v>42</v>
      </c>
      <c r="C25" s="7" t="s">
        <v>43</v>
      </c>
      <c r="D25" s="8">
        <v>480</v>
      </c>
      <c r="E25" s="8">
        <v>480</v>
      </c>
      <c r="F25" s="8">
        <v>0</v>
      </c>
      <c r="G25" s="8">
        <v>960</v>
      </c>
      <c r="H25" s="9">
        <v>240</v>
      </c>
      <c r="I25" s="8">
        <v>931.84</v>
      </c>
      <c r="J25" s="9">
        <v>232.96</v>
      </c>
    </row>
    <row r="26" spans="1:10" ht="69" x14ac:dyDescent="0.3">
      <c r="A26" s="10">
        <v>23</v>
      </c>
      <c r="B26" s="11" t="s">
        <v>44</v>
      </c>
      <c r="C26" s="11" t="s">
        <v>45</v>
      </c>
      <c r="D26" s="12">
        <v>480</v>
      </c>
      <c r="E26" s="12">
        <v>480</v>
      </c>
      <c r="F26" s="12">
        <v>64</v>
      </c>
      <c r="G26" s="12">
        <v>1024</v>
      </c>
      <c r="H26" s="13">
        <v>256</v>
      </c>
      <c r="I26" s="12">
        <v>993.84</v>
      </c>
      <c r="J26" s="13">
        <v>248.46</v>
      </c>
    </row>
    <row r="27" spans="1:10" ht="69" x14ac:dyDescent="0.3">
      <c r="A27" s="6">
        <v>24</v>
      </c>
      <c r="B27" s="7" t="s">
        <v>46</v>
      </c>
      <c r="C27" s="7" t="s">
        <v>47</v>
      </c>
      <c r="D27" s="8">
        <v>480</v>
      </c>
      <c r="E27" s="8">
        <v>480</v>
      </c>
      <c r="F27" s="8">
        <v>0</v>
      </c>
      <c r="G27" s="8">
        <v>960</v>
      </c>
      <c r="H27" s="9">
        <v>240</v>
      </c>
      <c r="I27" s="8">
        <v>931.84</v>
      </c>
      <c r="J27" s="9">
        <v>232.96</v>
      </c>
    </row>
    <row r="28" spans="1:10" ht="69" x14ac:dyDescent="0.3">
      <c r="A28" s="10">
        <v>25</v>
      </c>
      <c r="B28" s="11" t="s">
        <v>48</v>
      </c>
      <c r="C28" s="11" t="s">
        <v>49</v>
      </c>
      <c r="D28" s="12">
        <v>480</v>
      </c>
      <c r="E28" s="12">
        <v>480</v>
      </c>
      <c r="F28" s="12">
        <v>64</v>
      </c>
      <c r="G28" s="12">
        <v>1024</v>
      </c>
      <c r="H28" s="13">
        <v>256</v>
      </c>
      <c r="I28" s="12">
        <v>993.84</v>
      </c>
      <c r="J28" s="13">
        <v>248.46</v>
      </c>
    </row>
    <row r="29" spans="1:10" ht="30" customHeight="1" x14ac:dyDescent="0.3">
      <c r="A29" s="128" t="s">
        <v>50</v>
      </c>
      <c r="B29" s="123"/>
      <c r="C29" s="123"/>
      <c r="D29" s="15">
        <f t="shared" ref="D29:J29" si="0">SUM(D4:D28)</f>
        <v>12000</v>
      </c>
      <c r="E29" s="15">
        <f t="shared" si="0"/>
        <v>12000</v>
      </c>
      <c r="F29" s="15">
        <f t="shared" si="0"/>
        <v>512</v>
      </c>
      <c r="G29" s="15">
        <f t="shared" si="0"/>
        <v>24512</v>
      </c>
      <c r="H29" s="16">
        <f t="shared" si="0"/>
        <v>6128</v>
      </c>
      <c r="I29" s="15">
        <f t="shared" si="0"/>
        <v>23792</v>
      </c>
      <c r="J29" s="16">
        <f t="shared" si="0"/>
        <v>5948</v>
      </c>
    </row>
    <row r="31" spans="1:10" x14ac:dyDescent="0.3">
      <c r="A31" s="126" t="s">
        <v>51</v>
      </c>
      <c r="B31" s="123"/>
      <c r="C31" s="123"/>
      <c r="D31" s="123"/>
    </row>
    <row r="32" spans="1:10" x14ac:dyDescent="0.3">
      <c r="A32" s="125" t="s">
        <v>52</v>
      </c>
      <c r="B32" s="123"/>
      <c r="C32" s="122" t="s">
        <v>53</v>
      </c>
      <c r="D32" s="123"/>
    </row>
    <row r="33" spans="1:4" x14ac:dyDescent="0.3">
      <c r="A33" s="127" t="s">
        <v>54</v>
      </c>
      <c r="B33" s="123"/>
      <c r="C33" s="124" t="s">
        <v>55</v>
      </c>
      <c r="D33" s="123"/>
    </row>
    <row r="34" spans="1:4" x14ac:dyDescent="0.3">
      <c r="A34" s="125" t="s">
        <v>56</v>
      </c>
      <c r="B34" s="123"/>
      <c r="C34" s="122" t="s">
        <v>57</v>
      </c>
      <c r="D34" s="123"/>
    </row>
    <row r="35" spans="1:4" x14ac:dyDescent="0.3">
      <c r="A35" s="127" t="s">
        <v>58</v>
      </c>
      <c r="B35" s="123"/>
      <c r="C35" s="124" t="s">
        <v>59</v>
      </c>
      <c r="D35" s="123"/>
    </row>
    <row r="36" spans="1:4" x14ac:dyDescent="0.3">
      <c r="A36" s="125" t="s">
        <v>60</v>
      </c>
      <c r="B36" s="123"/>
      <c r="C36" s="122" t="s">
        <v>61</v>
      </c>
      <c r="D36" s="123"/>
    </row>
    <row r="37" spans="1:4" x14ac:dyDescent="0.3">
      <c r="A37" s="127" t="s">
        <v>62</v>
      </c>
      <c r="B37" s="123"/>
      <c r="C37" s="124" t="s">
        <v>63</v>
      </c>
      <c r="D37" s="123"/>
    </row>
    <row r="38" spans="1:4" x14ac:dyDescent="0.3">
      <c r="A38" s="125" t="s">
        <v>64</v>
      </c>
      <c r="B38" s="123"/>
      <c r="C38" s="122" t="s">
        <v>65</v>
      </c>
      <c r="D38" s="123"/>
    </row>
    <row r="39" spans="1:4" x14ac:dyDescent="0.3">
      <c r="A39" s="127" t="s">
        <v>66</v>
      </c>
      <c r="B39" s="123"/>
      <c r="C39" s="124" t="s">
        <v>67</v>
      </c>
      <c r="D39" s="123"/>
    </row>
    <row r="40" spans="1:4" x14ac:dyDescent="0.3">
      <c r="A40" s="125" t="s">
        <v>68</v>
      </c>
      <c r="B40" s="123"/>
      <c r="C40" s="122" t="s">
        <v>69</v>
      </c>
      <c r="D40" s="123"/>
    </row>
    <row r="41" spans="1:4" x14ac:dyDescent="0.3">
      <c r="A41" s="127" t="s">
        <v>70</v>
      </c>
      <c r="B41" s="123"/>
      <c r="C41" s="124" t="s">
        <v>71</v>
      </c>
      <c r="D41" s="123"/>
    </row>
    <row r="42" spans="1:4" x14ac:dyDescent="0.3">
      <c r="A42" s="125" t="s">
        <v>72</v>
      </c>
      <c r="B42" s="123"/>
      <c r="C42" s="122" t="s">
        <v>73</v>
      </c>
      <c r="D42" s="123"/>
    </row>
    <row r="43" spans="1:4" x14ac:dyDescent="0.3">
      <c r="A43" s="127" t="s">
        <v>74</v>
      </c>
      <c r="B43" s="123"/>
      <c r="C43" s="124" t="s">
        <v>75</v>
      </c>
      <c r="D43" s="123"/>
    </row>
  </sheetData>
  <mergeCells count="28">
    <mergeCell ref="A29:C29"/>
    <mergeCell ref="C43:D43"/>
    <mergeCell ref="A1:J1"/>
    <mergeCell ref="A33:B33"/>
    <mergeCell ref="A42:B42"/>
    <mergeCell ref="A32:B32"/>
    <mergeCell ref="C36:D36"/>
    <mergeCell ref="C39:D39"/>
    <mergeCell ref="A35:B35"/>
    <mergeCell ref="A38:B38"/>
    <mergeCell ref="C32:D32"/>
    <mergeCell ref="C38:D38"/>
    <mergeCell ref="A43:B43"/>
    <mergeCell ref="C37:D37"/>
    <mergeCell ref="A2:J2"/>
    <mergeCell ref="A39:B39"/>
    <mergeCell ref="A31:D31"/>
    <mergeCell ref="A41:B41"/>
    <mergeCell ref="C41:D41"/>
    <mergeCell ref="A37:B37"/>
    <mergeCell ref="C40:D40"/>
    <mergeCell ref="A34:B34"/>
    <mergeCell ref="A40:B40"/>
    <mergeCell ref="C34:D34"/>
    <mergeCell ref="C33:D33"/>
    <mergeCell ref="C42:D42"/>
    <mergeCell ref="A36:B36"/>
    <mergeCell ref="C35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5998"/>
  </sheetPr>
  <dimension ref="A1:J28"/>
  <sheetViews>
    <sheetView workbookViewId="0">
      <selection activeCell="K8" sqref="K8"/>
    </sheetView>
  </sheetViews>
  <sheetFormatPr defaultRowHeight="14.4" x14ac:dyDescent="0.3"/>
  <cols>
    <col min="1" max="1" width="5" customWidth="1"/>
    <col min="2" max="3" width="4.88671875" bestFit="1" customWidth="1"/>
    <col min="4" max="5" width="9.109375" bestFit="1" customWidth="1"/>
    <col min="6" max="6" width="6.5546875" bestFit="1" customWidth="1"/>
    <col min="7" max="7" width="9.109375" bestFit="1" customWidth="1"/>
    <col min="8" max="8" width="8.33203125" bestFit="1" customWidth="1"/>
    <col min="9" max="9" width="6" bestFit="1" customWidth="1"/>
    <col min="10" max="10" width="9.109375" bestFit="1" customWidth="1"/>
  </cols>
  <sheetData>
    <row r="1" spans="1:10" ht="34.950000000000003" customHeight="1" x14ac:dyDescent="0.3">
      <c r="A1" s="129" t="s">
        <v>76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8.05" customHeight="1" x14ac:dyDescent="0.3">
      <c r="A2" s="1" t="s">
        <v>2</v>
      </c>
      <c r="B2" s="1" t="s">
        <v>77</v>
      </c>
      <c r="C2" s="1" t="s">
        <v>78</v>
      </c>
      <c r="D2" s="1" t="s">
        <v>5</v>
      </c>
      <c r="E2" s="1" t="s">
        <v>6</v>
      </c>
      <c r="F2" s="1" t="s">
        <v>7</v>
      </c>
      <c r="G2" s="1" t="s">
        <v>79</v>
      </c>
      <c r="H2" s="1" t="s">
        <v>80</v>
      </c>
      <c r="I2" s="1" t="s">
        <v>81</v>
      </c>
      <c r="J2" s="1" t="s">
        <v>82</v>
      </c>
    </row>
    <row r="3" spans="1:10" x14ac:dyDescent="0.3">
      <c r="A3" s="2">
        <v>1</v>
      </c>
      <c r="B3" s="2">
        <v>9</v>
      </c>
      <c r="C3" s="2">
        <v>9</v>
      </c>
      <c r="D3" s="4">
        <v>480</v>
      </c>
      <c r="E3" s="4">
        <v>480</v>
      </c>
      <c r="F3" s="4">
        <v>0</v>
      </c>
      <c r="G3" s="4">
        <v>960</v>
      </c>
      <c r="H3" s="4">
        <v>28.16</v>
      </c>
      <c r="I3" s="17">
        <v>0.97066666666666668</v>
      </c>
      <c r="J3" s="4">
        <v>931.84</v>
      </c>
    </row>
    <row r="4" spans="1:10" x14ac:dyDescent="0.3">
      <c r="A4" s="6">
        <v>2</v>
      </c>
      <c r="B4" s="6">
        <v>15</v>
      </c>
      <c r="C4" s="6">
        <v>6</v>
      </c>
      <c r="D4" s="8">
        <v>480</v>
      </c>
      <c r="E4" s="8">
        <v>480</v>
      </c>
      <c r="F4" s="8">
        <v>0</v>
      </c>
      <c r="G4" s="8">
        <v>960</v>
      </c>
      <c r="H4" s="8">
        <v>28.16</v>
      </c>
      <c r="I4" s="18">
        <v>0.97066666666666668</v>
      </c>
      <c r="J4" s="8">
        <v>931.84</v>
      </c>
    </row>
    <row r="5" spans="1:10" x14ac:dyDescent="0.3">
      <c r="A5" s="2">
        <v>3</v>
      </c>
      <c r="B5" s="2">
        <v>21</v>
      </c>
      <c r="C5" s="2">
        <v>6</v>
      </c>
      <c r="D5" s="4">
        <v>480</v>
      </c>
      <c r="E5" s="4">
        <v>480</v>
      </c>
      <c r="F5" s="4">
        <v>0</v>
      </c>
      <c r="G5" s="4">
        <v>960</v>
      </c>
      <c r="H5" s="4">
        <v>28.16</v>
      </c>
      <c r="I5" s="17">
        <v>0.97066666666666668</v>
      </c>
      <c r="J5" s="4">
        <v>931.84</v>
      </c>
    </row>
    <row r="6" spans="1:10" x14ac:dyDescent="0.3">
      <c r="A6" s="6">
        <v>4</v>
      </c>
      <c r="B6" s="6">
        <v>27</v>
      </c>
      <c r="C6" s="6">
        <v>6</v>
      </c>
      <c r="D6" s="8">
        <v>480</v>
      </c>
      <c r="E6" s="8">
        <v>480</v>
      </c>
      <c r="F6" s="8">
        <v>0</v>
      </c>
      <c r="G6" s="8">
        <v>960</v>
      </c>
      <c r="H6" s="8">
        <v>28.16</v>
      </c>
      <c r="I6" s="18">
        <v>0.97066666666666668</v>
      </c>
      <c r="J6" s="8">
        <v>931.84</v>
      </c>
    </row>
    <row r="7" spans="1:10" x14ac:dyDescent="0.3">
      <c r="A7" s="10">
        <v>5</v>
      </c>
      <c r="B7" s="10">
        <v>33</v>
      </c>
      <c r="C7" s="10">
        <v>6</v>
      </c>
      <c r="D7" s="12">
        <v>480</v>
      </c>
      <c r="E7" s="12">
        <v>480</v>
      </c>
      <c r="F7" s="12">
        <v>64</v>
      </c>
      <c r="G7" s="12">
        <v>1024</v>
      </c>
      <c r="H7" s="12">
        <v>30.16</v>
      </c>
      <c r="I7" s="19">
        <v>0.97054687500000003</v>
      </c>
      <c r="J7" s="12">
        <v>993.84</v>
      </c>
    </row>
    <row r="8" spans="1:10" x14ac:dyDescent="0.3">
      <c r="A8" s="10">
        <v>6</v>
      </c>
      <c r="B8" s="10">
        <v>39</v>
      </c>
      <c r="C8" s="10">
        <v>6</v>
      </c>
      <c r="D8" s="12">
        <v>480</v>
      </c>
      <c r="E8" s="12">
        <v>480</v>
      </c>
      <c r="F8" s="12">
        <v>64</v>
      </c>
      <c r="G8" s="12">
        <v>1024</v>
      </c>
      <c r="H8" s="12">
        <v>30.16</v>
      </c>
      <c r="I8" s="19">
        <v>0.97054687500000003</v>
      </c>
      <c r="J8" s="12">
        <v>993.84</v>
      </c>
    </row>
    <row r="9" spans="1:10" x14ac:dyDescent="0.3">
      <c r="A9" s="2">
        <v>7</v>
      </c>
      <c r="B9" s="2">
        <v>45</v>
      </c>
      <c r="C9" s="2">
        <v>6</v>
      </c>
      <c r="D9" s="4">
        <v>480</v>
      </c>
      <c r="E9" s="4">
        <v>480</v>
      </c>
      <c r="F9" s="4">
        <v>0</v>
      </c>
      <c r="G9" s="4">
        <v>960</v>
      </c>
      <c r="H9" s="4">
        <v>28.16</v>
      </c>
      <c r="I9" s="17">
        <v>0.97066666666666668</v>
      </c>
      <c r="J9" s="4">
        <v>931.84</v>
      </c>
    </row>
    <row r="10" spans="1:10" x14ac:dyDescent="0.3">
      <c r="A10" s="6">
        <v>8</v>
      </c>
      <c r="B10" s="6">
        <v>51</v>
      </c>
      <c r="C10" s="6">
        <v>6</v>
      </c>
      <c r="D10" s="8">
        <v>480</v>
      </c>
      <c r="E10" s="8">
        <v>480</v>
      </c>
      <c r="F10" s="8">
        <v>0</v>
      </c>
      <c r="G10" s="8">
        <v>960</v>
      </c>
      <c r="H10" s="8">
        <v>28.16</v>
      </c>
      <c r="I10" s="18">
        <v>0.97066666666666668</v>
      </c>
      <c r="J10" s="8">
        <v>931.84</v>
      </c>
    </row>
    <row r="11" spans="1:10" x14ac:dyDescent="0.3">
      <c r="A11" s="2">
        <v>9</v>
      </c>
      <c r="B11" s="2">
        <v>57</v>
      </c>
      <c r="C11" s="2">
        <v>6</v>
      </c>
      <c r="D11" s="4">
        <v>480</v>
      </c>
      <c r="E11" s="4">
        <v>480</v>
      </c>
      <c r="F11" s="4">
        <v>0</v>
      </c>
      <c r="G11" s="4">
        <v>960</v>
      </c>
      <c r="H11" s="4">
        <v>28.16</v>
      </c>
      <c r="I11" s="17">
        <v>0.97066666666666668</v>
      </c>
      <c r="J11" s="4">
        <v>931.84</v>
      </c>
    </row>
    <row r="12" spans="1:10" x14ac:dyDescent="0.3">
      <c r="A12" s="6">
        <v>10</v>
      </c>
      <c r="B12" s="6">
        <v>63</v>
      </c>
      <c r="C12" s="6">
        <v>6</v>
      </c>
      <c r="D12" s="8">
        <v>480</v>
      </c>
      <c r="E12" s="8">
        <v>480</v>
      </c>
      <c r="F12" s="8">
        <v>0</v>
      </c>
      <c r="G12" s="8">
        <v>960</v>
      </c>
      <c r="H12" s="8">
        <v>28.16</v>
      </c>
      <c r="I12" s="18">
        <v>0.97066666666666668</v>
      </c>
      <c r="J12" s="8">
        <v>931.84</v>
      </c>
    </row>
    <row r="13" spans="1:10" x14ac:dyDescent="0.3">
      <c r="A13" s="10">
        <v>11</v>
      </c>
      <c r="B13" s="10">
        <v>69</v>
      </c>
      <c r="C13" s="10">
        <v>6</v>
      </c>
      <c r="D13" s="12">
        <v>480</v>
      </c>
      <c r="E13" s="12">
        <v>480</v>
      </c>
      <c r="F13" s="12">
        <v>64</v>
      </c>
      <c r="G13" s="12">
        <v>1024</v>
      </c>
      <c r="H13" s="12">
        <v>30.16</v>
      </c>
      <c r="I13" s="19">
        <v>0.97054687500000003</v>
      </c>
      <c r="J13" s="12">
        <v>993.84</v>
      </c>
    </row>
    <row r="14" spans="1:10" x14ac:dyDescent="0.3">
      <c r="A14" s="10">
        <v>12</v>
      </c>
      <c r="B14" s="10">
        <v>75</v>
      </c>
      <c r="C14" s="10">
        <v>6</v>
      </c>
      <c r="D14" s="12">
        <v>480</v>
      </c>
      <c r="E14" s="12">
        <v>480</v>
      </c>
      <c r="F14" s="12">
        <v>64</v>
      </c>
      <c r="G14" s="12">
        <v>1024</v>
      </c>
      <c r="H14" s="12">
        <v>30.16</v>
      </c>
      <c r="I14" s="19">
        <v>0.97054687500000003</v>
      </c>
      <c r="J14" s="12">
        <v>993.84</v>
      </c>
    </row>
    <row r="15" spans="1:10" x14ac:dyDescent="0.3">
      <c r="A15" s="2">
        <v>13</v>
      </c>
      <c r="B15" s="2">
        <v>81</v>
      </c>
      <c r="C15" s="2">
        <v>6</v>
      </c>
      <c r="D15" s="4">
        <v>480</v>
      </c>
      <c r="E15" s="4">
        <v>480</v>
      </c>
      <c r="F15" s="4">
        <v>0</v>
      </c>
      <c r="G15" s="4">
        <v>960</v>
      </c>
      <c r="H15" s="4">
        <v>28.16</v>
      </c>
      <c r="I15" s="17">
        <v>0.97066666666666668</v>
      </c>
      <c r="J15" s="4">
        <v>931.84</v>
      </c>
    </row>
    <row r="16" spans="1:10" x14ac:dyDescent="0.3">
      <c r="A16" s="6">
        <v>14</v>
      </c>
      <c r="B16" s="6">
        <v>87</v>
      </c>
      <c r="C16" s="6">
        <v>6</v>
      </c>
      <c r="D16" s="8">
        <v>480</v>
      </c>
      <c r="E16" s="8">
        <v>480</v>
      </c>
      <c r="F16" s="8">
        <v>0</v>
      </c>
      <c r="G16" s="8">
        <v>960</v>
      </c>
      <c r="H16" s="8">
        <v>28.16</v>
      </c>
      <c r="I16" s="18">
        <v>0.97066666666666668</v>
      </c>
      <c r="J16" s="8">
        <v>931.84</v>
      </c>
    </row>
    <row r="17" spans="1:10" x14ac:dyDescent="0.3">
      <c r="A17" s="2">
        <v>15</v>
      </c>
      <c r="B17" s="2">
        <v>93</v>
      </c>
      <c r="C17" s="2">
        <v>6</v>
      </c>
      <c r="D17" s="4">
        <v>480</v>
      </c>
      <c r="E17" s="4">
        <v>480</v>
      </c>
      <c r="F17" s="4">
        <v>0</v>
      </c>
      <c r="G17" s="4">
        <v>960</v>
      </c>
      <c r="H17" s="4">
        <v>28.16</v>
      </c>
      <c r="I17" s="17">
        <v>0.97066666666666668</v>
      </c>
      <c r="J17" s="4">
        <v>931.84</v>
      </c>
    </row>
    <row r="18" spans="1:10" x14ac:dyDescent="0.3">
      <c r="A18" s="6">
        <v>16</v>
      </c>
      <c r="B18" s="6">
        <v>99</v>
      </c>
      <c r="C18" s="6">
        <v>6</v>
      </c>
      <c r="D18" s="8">
        <v>480</v>
      </c>
      <c r="E18" s="8">
        <v>480</v>
      </c>
      <c r="F18" s="8">
        <v>0</v>
      </c>
      <c r="G18" s="8">
        <v>960</v>
      </c>
      <c r="H18" s="8">
        <v>28.16</v>
      </c>
      <c r="I18" s="18">
        <v>0.97066666666666668</v>
      </c>
      <c r="J18" s="8">
        <v>931.84</v>
      </c>
    </row>
    <row r="19" spans="1:10" x14ac:dyDescent="0.3">
      <c r="A19" s="10">
        <v>17</v>
      </c>
      <c r="B19" s="10">
        <v>105</v>
      </c>
      <c r="C19" s="10">
        <v>6</v>
      </c>
      <c r="D19" s="12">
        <v>480</v>
      </c>
      <c r="E19" s="12">
        <v>480</v>
      </c>
      <c r="F19" s="12">
        <v>64</v>
      </c>
      <c r="G19" s="12">
        <v>1024</v>
      </c>
      <c r="H19" s="12">
        <v>30.16</v>
      </c>
      <c r="I19" s="19">
        <v>0.97054687500000003</v>
      </c>
      <c r="J19" s="12">
        <v>993.84</v>
      </c>
    </row>
    <row r="20" spans="1:10" x14ac:dyDescent="0.3">
      <c r="A20" s="10">
        <v>18</v>
      </c>
      <c r="B20" s="10">
        <v>111</v>
      </c>
      <c r="C20" s="10">
        <v>6</v>
      </c>
      <c r="D20" s="12">
        <v>480</v>
      </c>
      <c r="E20" s="12">
        <v>480</v>
      </c>
      <c r="F20" s="12">
        <v>64</v>
      </c>
      <c r="G20" s="12">
        <v>1024</v>
      </c>
      <c r="H20" s="12">
        <v>30.16</v>
      </c>
      <c r="I20" s="19">
        <v>0.97054687500000003</v>
      </c>
      <c r="J20" s="12">
        <v>993.84</v>
      </c>
    </row>
    <row r="21" spans="1:10" x14ac:dyDescent="0.3">
      <c r="A21" s="2">
        <v>19</v>
      </c>
      <c r="B21" s="2">
        <v>117</v>
      </c>
      <c r="C21" s="2">
        <v>6</v>
      </c>
      <c r="D21" s="4">
        <v>480</v>
      </c>
      <c r="E21" s="4">
        <v>480</v>
      </c>
      <c r="F21" s="4">
        <v>0</v>
      </c>
      <c r="G21" s="4">
        <v>960</v>
      </c>
      <c r="H21" s="4">
        <v>28.16</v>
      </c>
      <c r="I21" s="17">
        <v>0.97066666666666668</v>
      </c>
      <c r="J21" s="4">
        <v>931.84</v>
      </c>
    </row>
    <row r="22" spans="1:10" x14ac:dyDescent="0.3">
      <c r="A22" s="6">
        <v>20</v>
      </c>
      <c r="B22" s="6">
        <v>123</v>
      </c>
      <c r="C22" s="6">
        <v>6</v>
      </c>
      <c r="D22" s="8">
        <v>480</v>
      </c>
      <c r="E22" s="8">
        <v>480</v>
      </c>
      <c r="F22" s="8">
        <v>0</v>
      </c>
      <c r="G22" s="8">
        <v>960</v>
      </c>
      <c r="H22" s="8">
        <v>28.16</v>
      </c>
      <c r="I22" s="18">
        <v>0.97066666666666668</v>
      </c>
      <c r="J22" s="8">
        <v>931.84</v>
      </c>
    </row>
    <row r="23" spans="1:10" x14ac:dyDescent="0.3">
      <c r="A23" s="2">
        <v>21</v>
      </c>
      <c r="B23" s="2">
        <v>129</v>
      </c>
      <c r="C23" s="2">
        <v>6</v>
      </c>
      <c r="D23" s="4">
        <v>480</v>
      </c>
      <c r="E23" s="4">
        <v>480</v>
      </c>
      <c r="F23" s="4">
        <v>0</v>
      </c>
      <c r="G23" s="4">
        <v>960</v>
      </c>
      <c r="H23" s="4">
        <v>28.16</v>
      </c>
      <c r="I23" s="17">
        <v>0.97066666666666668</v>
      </c>
      <c r="J23" s="4">
        <v>931.84</v>
      </c>
    </row>
    <row r="24" spans="1:10" x14ac:dyDescent="0.3">
      <c r="A24" s="6">
        <v>22</v>
      </c>
      <c r="B24" s="6">
        <v>135</v>
      </c>
      <c r="C24" s="6">
        <v>6</v>
      </c>
      <c r="D24" s="8">
        <v>480</v>
      </c>
      <c r="E24" s="8">
        <v>480</v>
      </c>
      <c r="F24" s="8">
        <v>0</v>
      </c>
      <c r="G24" s="8">
        <v>960</v>
      </c>
      <c r="H24" s="8">
        <v>28.16</v>
      </c>
      <c r="I24" s="18">
        <v>0.97066666666666668</v>
      </c>
      <c r="J24" s="8">
        <v>931.84</v>
      </c>
    </row>
    <row r="25" spans="1:10" x14ac:dyDescent="0.3">
      <c r="A25" s="10">
        <v>23</v>
      </c>
      <c r="B25" s="10">
        <v>141</v>
      </c>
      <c r="C25" s="10">
        <v>6</v>
      </c>
      <c r="D25" s="12">
        <v>480</v>
      </c>
      <c r="E25" s="12">
        <v>480</v>
      </c>
      <c r="F25" s="12">
        <v>64</v>
      </c>
      <c r="G25" s="12">
        <v>1024</v>
      </c>
      <c r="H25" s="12">
        <v>30.16</v>
      </c>
      <c r="I25" s="19">
        <v>0.97054687500000003</v>
      </c>
      <c r="J25" s="12">
        <v>993.84</v>
      </c>
    </row>
    <row r="26" spans="1:10" x14ac:dyDescent="0.3">
      <c r="A26" s="6">
        <v>24</v>
      </c>
      <c r="B26" s="6">
        <v>147</v>
      </c>
      <c r="C26" s="6">
        <v>6</v>
      </c>
      <c r="D26" s="8">
        <v>480</v>
      </c>
      <c r="E26" s="8">
        <v>480</v>
      </c>
      <c r="F26" s="8">
        <v>0</v>
      </c>
      <c r="G26" s="8">
        <v>960</v>
      </c>
      <c r="H26" s="8">
        <v>28.16</v>
      </c>
      <c r="I26" s="18">
        <v>0.97066666666666668</v>
      </c>
      <c r="J26" s="8">
        <v>931.84</v>
      </c>
    </row>
    <row r="27" spans="1:10" x14ac:dyDescent="0.3">
      <c r="A27" s="10">
        <v>25</v>
      </c>
      <c r="B27" s="10">
        <v>153</v>
      </c>
      <c r="C27" s="10">
        <v>6</v>
      </c>
      <c r="D27" s="12">
        <v>480</v>
      </c>
      <c r="E27" s="12">
        <v>480</v>
      </c>
      <c r="F27" s="12">
        <v>64</v>
      </c>
      <c r="G27" s="12">
        <v>1024</v>
      </c>
      <c r="H27" s="12">
        <v>30.16</v>
      </c>
      <c r="I27" s="19">
        <v>0.97054687500000003</v>
      </c>
      <c r="J27" s="12">
        <v>993.84</v>
      </c>
    </row>
    <row r="28" spans="1:10" ht="57.6" x14ac:dyDescent="0.3">
      <c r="A28" s="14" t="s">
        <v>50</v>
      </c>
      <c r="B28" s="20"/>
      <c r="C28" s="20"/>
      <c r="D28" s="15">
        <f>SUM(D3:D27)</f>
        <v>12000</v>
      </c>
      <c r="E28" s="15">
        <f>SUM(E3:E27)</f>
        <v>12000</v>
      </c>
      <c r="F28" s="15">
        <f>SUM(F3:F27)</f>
        <v>512</v>
      </c>
      <c r="G28" s="15">
        <f>SUM(G3:G27)</f>
        <v>24512</v>
      </c>
      <c r="H28" s="15">
        <f>SUM(H3:H27)</f>
        <v>720</v>
      </c>
      <c r="I28" s="21">
        <f>AVERAGE(I3:I27)</f>
        <v>0.9706283333333332</v>
      </c>
      <c r="J28" s="15">
        <f>SUM(J3:J27)</f>
        <v>23792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J28"/>
  <sheetViews>
    <sheetView workbookViewId="0">
      <selection activeCell="L8" sqref="L8"/>
    </sheetView>
  </sheetViews>
  <sheetFormatPr defaultRowHeight="14.4" x14ac:dyDescent="0.3"/>
  <cols>
    <col min="1" max="1" width="4.88671875" bestFit="1" customWidth="1"/>
    <col min="2" max="2" width="4.5546875" bestFit="1" customWidth="1"/>
    <col min="3" max="3" width="4" bestFit="1" customWidth="1"/>
    <col min="4" max="5" width="7.109375" bestFit="1" customWidth="1"/>
    <col min="6" max="6" width="6.109375" bestFit="1" customWidth="1"/>
    <col min="7" max="7" width="11.33203125" bestFit="1" customWidth="1"/>
    <col min="8" max="8" width="8.33203125" bestFit="1" customWidth="1"/>
    <col min="9" max="9" width="6" bestFit="1" customWidth="1"/>
    <col min="10" max="10" width="10.77734375" bestFit="1" customWidth="1"/>
  </cols>
  <sheetData>
    <row r="1" spans="1:10" ht="34.950000000000003" customHeight="1" x14ac:dyDescent="0.3">
      <c r="A1" s="131" t="s">
        <v>83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8.05" customHeight="1" x14ac:dyDescent="0.3">
      <c r="A2" s="22" t="s">
        <v>2</v>
      </c>
      <c r="B2" s="22" t="s">
        <v>84</v>
      </c>
      <c r="C2" s="22" t="s">
        <v>85</v>
      </c>
      <c r="D2" s="22" t="s">
        <v>86</v>
      </c>
      <c r="E2" s="22" t="s">
        <v>87</v>
      </c>
      <c r="F2" s="22" t="s">
        <v>88</v>
      </c>
      <c r="G2" s="22" t="s">
        <v>9</v>
      </c>
      <c r="H2" s="22" t="s">
        <v>89</v>
      </c>
      <c r="I2" s="22" t="s">
        <v>81</v>
      </c>
      <c r="J2" s="22" t="s">
        <v>90</v>
      </c>
    </row>
    <row r="3" spans="1:10" x14ac:dyDescent="0.3">
      <c r="A3" s="23">
        <v>1</v>
      </c>
      <c r="B3" s="24">
        <v>4.5</v>
      </c>
      <c r="C3" s="24">
        <v>4.5</v>
      </c>
      <c r="D3" s="25">
        <v>120</v>
      </c>
      <c r="E3" s="25">
        <v>120</v>
      </c>
      <c r="F3" s="25">
        <v>0</v>
      </c>
      <c r="G3" s="25">
        <v>240</v>
      </c>
      <c r="H3" s="25">
        <v>7.04</v>
      </c>
      <c r="I3" s="26">
        <v>0.97066666666666668</v>
      </c>
      <c r="J3" s="25">
        <v>232.96</v>
      </c>
    </row>
    <row r="4" spans="1:10" x14ac:dyDescent="0.3">
      <c r="A4" s="6">
        <v>2</v>
      </c>
      <c r="B4" s="27">
        <v>7.5</v>
      </c>
      <c r="C4" s="27">
        <v>3</v>
      </c>
      <c r="D4" s="9">
        <v>120</v>
      </c>
      <c r="E4" s="9">
        <v>120</v>
      </c>
      <c r="F4" s="9">
        <v>0</v>
      </c>
      <c r="G4" s="9">
        <v>240</v>
      </c>
      <c r="H4" s="9">
        <v>7.04</v>
      </c>
      <c r="I4" s="18">
        <v>0.97066666666666668</v>
      </c>
      <c r="J4" s="9">
        <v>232.96</v>
      </c>
    </row>
    <row r="5" spans="1:10" x14ac:dyDescent="0.3">
      <c r="A5" s="23">
        <v>3</v>
      </c>
      <c r="B5" s="24">
        <v>10.5</v>
      </c>
      <c r="C5" s="24">
        <v>3</v>
      </c>
      <c r="D5" s="25">
        <v>120</v>
      </c>
      <c r="E5" s="25">
        <v>120</v>
      </c>
      <c r="F5" s="25">
        <v>0</v>
      </c>
      <c r="G5" s="25">
        <v>240</v>
      </c>
      <c r="H5" s="25">
        <v>7.04</v>
      </c>
      <c r="I5" s="26">
        <v>0.97066666666666668</v>
      </c>
      <c r="J5" s="25">
        <v>232.96</v>
      </c>
    </row>
    <row r="6" spans="1:10" x14ac:dyDescent="0.3">
      <c r="A6" s="6">
        <v>4</v>
      </c>
      <c r="B6" s="27">
        <v>13.5</v>
      </c>
      <c r="C6" s="27">
        <v>3</v>
      </c>
      <c r="D6" s="9">
        <v>120</v>
      </c>
      <c r="E6" s="9">
        <v>120</v>
      </c>
      <c r="F6" s="9">
        <v>0</v>
      </c>
      <c r="G6" s="9">
        <v>240</v>
      </c>
      <c r="H6" s="9">
        <v>7.04</v>
      </c>
      <c r="I6" s="18">
        <v>0.97066666666666668</v>
      </c>
      <c r="J6" s="9">
        <v>232.96</v>
      </c>
    </row>
    <row r="7" spans="1:10" x14ac:dyDescent="0.3">
      <c r="A7" s="10">
        <v>5</v>
      </c>
      <c r="B7" s="28">
        <v>16.5</v>
      </c>
      <c r="C7" s="28">
        <v>3</v>
      </c>
      <c r="D7" s="13">
        <v>120</v>
      </c>
      <c r="E7" s="13">
        <v>120</v>
      </c>
      <c r="F7" s="13">
        <v>16</v>
      </c>
      <c r="G7" s="13">
        <v>256</v>
      </c>
      <c r="H7" s="13">
        <v>7.54</v>
      </c>
      <c r="I7" s="19">
        <v>0.97054687500000003</v>
      </c>
      <c r="J7" s="13">
        <v>248.46</v>
      </c>
    </row>
    <row r="8" spans="1:10" x14ac:dyDescent="0.3">
      <c r="A8" s="10">
        <v>6</v>
      </c>
      <c r="B8" s="28">
        <v>19.5</v>
      </c>
      <c r="C8" s="28">
        <v>3</v>
      </c>
      <c r="D8" s="13">
        <v>120</v>
      </c>
      <c r="E8" s="13">
        <v>120</v>
      </c>
      <c r="F8" s="13">
        <v>16</v>
      </c>
      <c r="G8" s="13">
        <v>256</v>
      </c>
      <c r="H8" s="13">
        <v>7.54</v>
      </c>
      <c r="I8" s="19">
        <v>0.97054687500000003</v>
      </c>
      <c r="J8" s="13">
        <v>248.46</v>
      </c>
    </row>
    <row r="9" spans="1:10" x14ac:dyDescent="0.3">
      <c r="A9" s="23">
        <v>7</v>
      </c>
      <c r="B9" s="24">
        <v>22.5</v>
      </c>
      <c r="C9" s="24">
        <v>3</v>
      </c>
      <c r="D9" s="25">
        <v>120</v>
      </c>
      <c r="E9" s="25">
        <v>120</v>
      </c>
      <c r="F9" s="25">
        <v>0</v>
      </c>
      <c r="G9" s="25">
        <v>240</v>
      </c>
      <c r="H9" s="25">
        <v>7.04</v>
      </c>
      <c r="I9" s="26">
        <v>0.97066666666666668</v>
      </c>
      <c r="J9" s="25">
        <v>232.96</v>
      </c>
    </row>
    <row r="10" spans="1:10" x14ac:dyDescent="0.3">
      <c r="A10" s="6">
        <v>8</v>
      </c>
      <c r="B10" s="27">
        <v>25.5</v>
      </c>
      <c r="C10" s="27">
        <v>3</v>
      </c>
      <c r="D10" s="9">
        <v>120</v>
      </c>
      <c r="E10" s="9">
        <v>120</v>
      </c>
      <c r="F10" s="9">
        <v>0</v>
      </c>
      <c r="G10" s="9">
        <v>240</v>
      </c>
      <c r="H10" s="9">
        <v>7.04</v>
      </c>
      <c r="I10" s="18">
        <v>0.97066666666666668</v>
      </c>
      <c r="J10" s="9">
        <v>232.96</v>
      </c>
    </row>
    <row r="11" spans="1:10" x14ac:dyDescent="0.3">
      <c r="A11" s="23">
        <v>9</v>
      </c>
      <c r="B11" s="24">
        <v>28.5</v>
      </c>
      <c r="C11" s="24">
        <v>3</v>
      </c>
      <c r="D11" s="25">
        <v>120</v>
      </c>
      <c r="E11" s="25">
        <v>120</v>
      </c>
      <c r="F11" s="25">
        <v>0</v>
      </c>
      <c r="G11" s="25">
        <v>240</v>
      </c>
      <c r="H11" s="25">
        <v>7.04</v>
      </c>
      <c r="I11" s="26">
        <v>0.97066666666666668</v>
      </c>
      <c r="J11" s="25">
        <v>232.96</v>
      </c>
    </row>
    <row r="12" spans="1:10" x14ac:dyDescent="0.3">
      <c r="A12" s="6">
        <v>10</v>
      </c>
      <c r="B12" s="27">
        <v>31.5</v>
      </c>
      <c r="C12" s="27">
        <v>3</v>
      </c>
      <c r="D12" s="9">
        <v>120</v>
      </c>
      <c r="E12" s="9">
        <v>120</v>
      </c>
      <c r="F12" s="9">
        <v>0</v>
      </c>
      <c r="G12" s="9">
        <v>240</v>
      </c>
      <c r="H12" s="9">
        <v>7.04</v>
      </c>
      <c r="I12" s="18">
        <v>0.97066666666666668</v>
      </c>
      <c r="J12" s="9">
        <v>232.96</v>
      </c>
    </row>
    <row r="13" spans="1:10" x14ac:dyDescent="0.3">
      <c r="A13" s="10">
        <v>11</v>
      </c>
      <c r="B13" s="28">
        <v>34.5</v>
      </c>
      <c r="C13" s="28">
        <v>3</v>
      </c>
      <c r="D13" s="13">
        <v>120</v>
      </c>
      <c r="E13" s="13">
        <v>120</v>
      </c>
      <c r="F13" s="13">
        <v>16</v>
      </c>
      <c r="G13" s="13">
        <v>256</v>
      </c>
      <c r="H13" s="13">
        <v>7.54</v>
      </c>
      <c r="I13" s="19">
        <v>0.97054687500000003</v>
      </c>
      <c r="J13" s="13">
        <v>248.46</v>
      </c>
    </row>
    <row r="14" spans="1:10" x14ac:dyDescent="0.3">
      <c r="A14" s="10">
        <v>12</v>
      </c>
      <c r="B14" s="28">
        <v>37.5</v>
      </c>
      <c r="C14" s="28">
        <v>3</v>
      </c>
      <c r="D14" s="13">
        <v>120</v>
      </c>
      <c r="E14" s="13">
        <v>120</v>
      </c>
      <c r="F14" s="13">
        <v>16</v>
      </c>
      <c r="G14" s="13">
        <v>256</v>
      </c>
      <c r="H14" s="13">
        <v>7.54</v>
      </c>
      <c r="I14" s="19">
        <v>0.97054687500000003</v>
      </c>
      <c r="J14" s="13">
        <v>248.46</v>
      </c>
    </row>
    <row r="15" spans="1:10" x14ac:dyDescent="0.3">
      <c r="A15" s="23">
        <v>13</v>
      </c>
      <c r="B15" s="24">
        <v>40.5</v>
      </c>
      <c r="C15" s="24">
        <v>3</v>
      </c>
      <c r="D15" s="25">
        <v>120</v>
      </c>
      <c r="E15" s="25">
        <v>120</v>
      </c>
      <c r="F15" s="25">
        <v>0</v>
      </c>
      <c r="G15" s="25">
        <v>240</v>
      </c>
      <c r="H15" s="25">
        <v>7.04</v>
      </c>
      <c r="I15" s="26">
        <v>0.97066666666666668</v>
      </c>
      <c r="J15" s="25">
        <v>232.96</v>
      </c>
    </row>
    <row r="16" spans="1:10" x14ac:dyDescent="0.3">
      <c r="A16" s="6">
        <v>14</v>
      </c>
      <c r="B16" s="27">
        <v>43.5</v>
      </c>
      <c r="C16" s="27">
        <v>3</v>
      </c>
      <c r="D16" s="9">
        <v>120</v>
      </c>
      <c r="E16" s="9">
        <v>120</v>
      </c>
      <c r="F16" s="9">
        <v>0</v>
      </c>
      <c r="G16" s="9">
        <v>240</v>
      </c>
      <c r="H16" s="9">
        <v>7.04</v>
      </c>
      <c r="I16" s="18">
        <v>0.97066666666666668</v>
      </c>
      <c r="J16" s="9">
        <v>232.96</v>
      </c>
    </row>
    <row r="17" spans="1:10" x14ac:dyDescent="0.3">
      <c r="A17" s="23">
        <v>15</v>
      </c>
      <c r="B17" s="24">
        <v>46.5</v>
      </c>
      <c r="C17" s="24">
        <v>3</v>
      </c>
      <c r="D17" s="25">
        <v>120</v>
      </c>
      <c r="E17" s="25">
        <v>120</v>
      </c>
      <c r="F17" s="25">
        <v>0</v>
      </c>
      <c r="G17" s="25">
        <v>240</v>
      </c>
      <c r="H17" s="25">
        <v>7.04</v>
      </c>
      <c r="I17" s="26">
        <v>0.97066666666666668</v>
      </c>
      <c r="J17" s="25">
        <v>232.96</v>
      </c>
    </row>
    <row r="18" spans="1:10" x14ac:dyDescent="0.3">
      <c r="A18" s="6">
        <v>16</v>
      </c>
      <c r="B18" s="27">
        <v>49.5</v>
      </c>
      <c r="C18" s="27">
        <v>3</v>
      </c>
      <c r="D18" s="9">
        <v>120</v>
      </c>
      <c r="E18" s="9">
        <v>120</v>
      </c>
      <c r="F18" s="9">
        <v>0</v>
      </c>
      <c r="G18" s="9">
        <v>240</v>
      </c>
      <c r="H18" s="9">
        <v>7.04</v>
      </c>
      <c r="I18" s="18">
        <v>0.97066666666666668</v>
      </c>
      <c r="J18" s="9">
        <v>232.96</v>
      </c>
    </row>
    <row r="19" spans="1:10" x14ac:dyDescent="0.3">
      <c r="A19" s="10">
        <v>17</v>
      </c>
      <c r="B19" s="28">
        <v>52.5</v>
      </c>
      <c r="C19" s="28">
        <v>3</v>
      </c>
      <c r="D19" s="13">
        <v>120</v>
      </c>
      <c r="E19" s="13">
        <v>120</v>
      </c>
      <c r="F19" s="13">
        <v>16</v>
      </c>
      <c r="G19" s="13">
        <v>256</v>
      </c>
      <c r="H19" s="13">
        <v>7.54</v>
      </c>
      <c r="I19" s="19">
        <v>0.97054687500000003</v>
      </c>
      <c r="J19" s="13">
        <v>248.46</v>
      </c>
    </row>
    <row r="20" spans="1:10" x14ac:dyDescent="0.3">
      <c r="A20" s="10">
        <v>18</v>
      </c>
      <c r="B20" s="28">
        <v>55.5</v>
      </c>
      <c r="C20" s="28">
        <v>3</v>
      </c>
      <c r="D20" s="13">
        <v>120</v>
      </c>
      <c r="E20" s="13">
        <v>120</v>
      </c>
      <c r="F20" s="13">
        <v>16</v>
      </c>
      <c r="G20" s="13">
        <v>256</v>
      </c>
      <c r="H20" s="13">
        <v>7.54</v>
      </c>
      <c r="I20" s="19">
        <v>0.97054687500000003</v>
      </c>
      <c r="J20" s="13">
        <v>248.46</v>
      </c>
    </row>
    <row r="21" spans="1:10" x14ac:dyDescent="0.3">
      <c r="A21" s="23">
        <v>19</v>
      </c>
      <c r="B21" s="24">
        <v>58.5</v>
      </c>
      <c r="C21" s="24">
        <v>3</v>
      </c>
      <c r="D21" s="25">
        <v>120</v>
      </c>
      <c r="E21" s="25">
        <v>120</v>
      </c>
      <c r="F21" s="25">
        <v>0</v>
      </c>
      <c r="G21" s="25">
        <v>240</v>
      </c>
      <c r="H21" s="25">
        <v>7.04</v>
      </c>
      <c r="I21" s="26">
        <v>0.97066666666666668</v>
      </c>
      <c r="J21" s="25">
        <v>232.96</v>
      </c>
    </row>
    <row r="22" spans="1:10" x14ac:dyDescent="0.3">
      <c r="A22" s="6">
        <v>20</v>
      </c>
      <c r="B22" s="27">
        <v>61.5</v>
      </c>
      <c r="C22" s="27">
        <v>3</v>
      </c>
      <c r="D22" s="9">
        <v>120</v>
      </c>
      <c r="E22" s="9">
        <v>120</v>
      </c>
      <c r="F22" s="9">
        <v>0</v>
      </c>
      <c r="G22" s="9">
        <v>240</v>
      </c>
      <c r="H22" s="9">
        <v>7.04</v>
      </c>
      <c r="I22" s="18">
        <v>0.97066666666666668</v>
      </c>
      <c r="J22" s="9">
        <v>232.96</v>
      </c>
    </row>
    <row r="23" spans="1:10" x14ac:dyDescent="0.3">
      <c r="A23" s="23">
        <v>21</v>
      </c>
      <c r="B23" s="24">
        <v>64.5</v>
      </c>
      <c r="C23" s="24">
        <v>3</v>
      </c>
      <c r="D23" s="25">
        <v>120</v>
      </c>
      <c r="E23" s="25">
        <v>120</v>
      </c>
      <c r="F23" s="25">
        <v>0</v>
      </c>
      <c r="G23" s="25">
        <v>240</v>
      </c>
      <c r="H23" s="25">
        <v>7.04</v>
      </c>
      <c r="I23" s="26">
        <v>0.97066666666666668</v>
      </c>
      <c r="J23" s="25">
        <v>232.96</v>
      </c>
    </row>
    <row r="24" spans="1:10" x14ac:dyDescent="0.3">
      <c r="A24" s="6">
        <v>22</v>
      </c>
      <c r="B24" s="27">
        <v>67.5</v>
      </c>
      <c r="C24" s="27">
        <v>3</v>
      </c>
      <c r="D24" s="9">
        <v>120</v>
      </c>
      <c r="E24" s="9">
        <v>120</v>
      </c>
      <c r="F24" s="9">
        <v>0</v>
      </c>
      <c r="G24" s="9">
        <v>240</v>
      </c>
      <c r="H24" s="9">
        <v>7.04</v>
      </c>
      <c r="I24" s="18">
        <v>0.97066666666666668</v>
      </c>
      <c r="J24" s="9">
        <v>232.96</v>
      </c>
    </row>
    <row r="25" spans="1:10" x14ac:dyDescent="0.3">
      <c r="A25" s="10">
        <v>23</v>
      </c>
      <c r="B25" s="28">
        <v>70.5</v>
      </c>
      <c r="C25" s="28">
        <v>3</v>
      </c>
      <c r="D25" s="13">
        <v>120</v>
      </c>
      <c r="E25" s="13">
        <v>120</v>
      </c>
      <c r="F25" s="13">
        <v>16</v>
      </c>
      <c r="G25" s="13">
        <v>256</v>
      </c>
      <c r="H25" s="13">
        <v>7.54</v>
      </c>
      <c r="I25" s="19">
        <v>0.97054687500000003</v>
      </c>
      <c r="J25" s="13">
        <v>248.46</v>
      </c>
    </row>
    <row r="26" spans="1:10" x14ac:dyDescent="0.3">
      <c r="A26" s="6">
        <v>24</v>
      </c>
      <c r="B26" s="27">
        <v>73.5</v>
      </c>
      <c r="C26" s="27">
        <v>3</v>
      </c>
      <c r="D26" s="9">
        <v>120</v>
      </c>
      <c r="E26" s="9">
        <v>120</v>
      </c>
      <c r="F26" s="9">
        <v>0</v>
      </c>
      <c r="G26" s="9">
        <v>240</v>
      </c>
      <c r="H26" s="9">
        <v>7.04</v>
      </c>
      <c r="I26" s="18">
        <v>0.97066666666666668</v>
      </c>
      <c r="J26" s="9">
        <v>232.96</v>
      </c>
    </row>
    <row r="27" spans="1:10" x14ac:dyDescent="0.3">
      <c r="A27" s="10">
        <v>25</v>
      </c>
      <c r="B27" s="28">
        <v>76.5</v>
      </c>
      <c r="C27" s="28">
        <v>3</v>
      </c>
      <c r="D27" s="13">
        <v>120</v>
      </c>
      <c r="E27" s="13">
        <v>120</v>
      </c>
      <c r="F27" s="13">
        <v>16</v>
      </c>
      <c r="G27" s="13">
        <v>256</v>
      </c>
      <c r="H27" s="13">
        <v>7.54</v>
      </c>
      <c r="I27" s="19">
        <v>0.97054687500000003</v>
      </c>
      <c r="J27" s="13">
        <v>248.46</v>
      </c>
    </row>
    <row r="28" spans="1:10" ht="28.8" x14ac:dyDescent="0.3">
      <c r="A28" s="29" t="s">
        <v>91</v>
      </c>
      <c r="B28" s="30"/>
      <c r="C28" s="30"/>
      <c r="D28" s="31">
        <f>SUM(D3:D27)</f>
        <v>3000</v>
      </c>
      <c r="E28" s="31">
        <f>SUM(E3:E27)</f>
        <v>3000</v>
      </c>
      <c r="F28" s="31">
        <f>SUM(F3:F27)</f>
        <v>128</v>
      </c>
      <c r="G28" s="31">
        <f>SUM(G3:G27)</f>
        <v>6128</v>
      </c>
      <c r="H28" s="31">
        <f>SUM(H3:H27)</f>
        <v>180</v>
      </c>
      <c r="I28" s="32">
        <f>AVERAGE(I3:I27)</f>
        <v>0.9706283333333332</v>
      </c>
      <c r="J28" s="31">
        <f>SUM(J3:J27)</f>
        <v>5948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942"/>
  </sheetPr>
  <dimension ref="A1:G11"/>
  <sheetViews>
    <sheetView workbookViewId="0">
      <selection sqref="A1:G11"/>
    </sheetView>
  </sheetViews>
  <sheetFormatPr defaultRowHeight="14.4" x14ac:dyDescent="0.3"/>
  <cols>
    <col min="1" max="1" width="6.5546875" bestFit="1" customWidth="1"/>
    <col min="2" max="2" width="6.33203125" bestFit="1" customWidth="1"/>
    <col min="3" max="3" width="7.6640625" bestFit="1" customWidth="1"/>
    <col min="4" max="4" width="7.5546875" bestFit="1" customWidth="1"/>
    <col min="5" max="6" width="10.33203125" bestFit="1" customWidth="1"/>
    <col min="7" max="7" width="10.5546875" bestFit="1" customWidth="1"/>
  </cols>
  <sheetData>
    <row r="1" spans="1:7" ht="34.950000000000003" customHeight="1" x14ac:dyDescent="0.3">
      <c r="A1" s="132" t="s">
        <v>92</v>
      </c>
      <c r="B1" s="123"/>
      <c r="C1" s="123"/>
      <c r="D1" s="123"/>
      <c r="E1" s="123"/>
      <c r="F1" s="123"/>
      <c r="G1" s="123"/>
    </row>
    <row r="2" spans="1:7" ht="28.05" customHeight="1" x14ac:dyDescent="0.3">
      <c r="A2" s="33" t="s">
        <v>2</v>
      </c>
      <c r="B2" s="33" t="s">
        <v>93</v>
      </c>
      <c r="C2" s="33" t="s">
        <v>94</v>
      </c>
      <c r="D2" s="33" t="s">
        <v>95</v>
      </c>
      <c r="E2" s="33" t="s">
        <v>96</v>
      </c>
      <c r="F2" s="33" t="s">
        <v>97</v>
      </c>
      <c r="G2" s="33" t="s">
        <v>98</v>
      </c>
    </row>
    <row r="3" spans="1:7" x14ac:dyDescent="0.3">
      <c r="A3" s="10">
        <v>5</v>
      </c>
      <c r="B3" s="10">
        <v>33</v>
      </c>
      <c r="C3" s="10">
        <v>8</v>
      </c>
      <c r="D3" s="10">
        <v>8</v>
      </c>
      <c r="E3" s="34">
        <v>64</v>
      </c>
      <c r="F3" s="35">
        <v>16</v>
      </c>
      <c r="G3" s="34">
        <v>1024</v>
      </c>
    </row>
    <row r="4" spans="1:7" x14ac:dyDescent="0.3">
      <c r="A4" s="36">
        <v>6</v>
      </c>
      <c r="B4" s="36">
        <v>39</v>
      </c>
      <c r="C4" s="36">
        <v>8</v>
      </c>
      <c r="D4" s="36">
        <v>8</v>
      </c>
      <c r="E4" s="37">
        <v>64</v>
      </c>
      <c r="F4" s="38">
        <v>16</v>
      </c>
      <c r="G4" s="37">
        <v>1024</v>
      </c>
    </row>
    <row r="5" spans="1:7" x14ac:dyDescent="0.3">
      <c r="A5" s="10">
        <v>11</v>
      </c>
      <c r="B5" s="10">
        <v>69</v>
      </c>
      <c r="C5" s="10">
        <v>8</v>
      </c>
      <c r="D5" s="10">
        <v>8</v>
      </c>
      <c r="E5" s="34">
        <v>64</v>
      </c>
      <c r="F5" s="35">
        <v>16</v>
      </c>
      <c r="G5" s="34">
        <v>1024</v>
      </c>
    </row>
    <row r="6" spans="1:7" x14ac:dyDescent="0.3">
      <c r="A6" s="36">
        <v>12</v>
      </c>
      <c r="B6" s="36">
        <v>75</v>
      </c>
      <c r="C6" s="36">
        <v>8</v>
      </c>
      <c r="D6" s="36">
        <v>8</v>
      </c>
      <c r="E6" s="37">
        <v>64</v>
      </c>
      <c r="F6" s="38">
        <v>16</v>
      </c>
      <c r="G6" s="37">
        <v>1024</v>
      </c>
    </row>
    <row r="7" spans="1:7" x14ac:dyDescent="0.3">
      <c r="A7" s="10">
        <v>17</v>
      </c>
      <c r="B7" s="10">
        <v>105</v>
      </c>
      <c r="C7" s="10">
        <v>8</v>
      </c>
      <c r="D7" s="10">
        <v>8</v>
      </c>
      <c r="E7" s="34">
        <v>64</v>
      </c>
      <c r="F7" s="35">
        <v>16</v>
      </c>
      <c r="G7" s="34">
        <v>1024</v>
      </c>
    </row>
    <row r="8" spans="1:7" x14ac:dyDescent="0.3">
      <c r="A8" s="36">
        <v>18</v>
      </c>
      <c r="B8" s="36">
        <v>111</v>
      </c>
      <c r="C8" s="36">
        <v>8</v>
      </c>
      <c r="D8" s="36">
        <v>8</v>
      </c>
      <c r="E8" s="37">
        <v>64</v>
      </c>
      <c r="F8" s="38">
        <v>16</v>
      </c>
      <c r="G8" s="37">
        <v>1024</v>
      </c>
    </row>
    <row r="9" spans="1:7" x14ac:dyDescent="0.3">
      <c r="A9" s="10">
        <v>23</v>
      </c>
      <c r="B9" s="10">
        <v>141</v>
      </c>
      <c r="C9" s="10">
        <v>8</v>
      </c>
      <c r="D9" s="10">
        <v>8</v>
      </c>
      <c r="E9" s="34">
        <v>64</v>
      </c>
      <c r="F9" s="35">
        <v>16</v>
      </c>
      <c r="G9" s="34">
        <v>1024</v>
      </c>
    </row>
    <row r="10" spans="1:7" x14ac:dyDescent="0.3">
      <c r="A10" s="36">
        <v>25</v>
      </c>
      <c r="B10" s="36">
        <v>153</v>
      </c>
      <c r="C10" s="36">
        <v>8</v>
      </c>
      <c r="D10" s="36">
        <v>8</v>
      </c>
      <c r="E10" s="37">
        <v>64</v>
      </c>
      <c r="F10" s="38">
        <v>16</v>
      </c>
      <c r="G10" s="37">
        <v>1024</v>
      </c>
    </row>
    <row r="11" spans="1:7" ht="28.8" x14ac:dyDescent="0.3">
      <c r="A11" s="39" t="s">
        <v>91</v>
      </c>
      <c r="B11" s="40"/>
      <c r="C11" s="40"/>
      <c r="D11" s="40"/>
      <c r="E11" s="41">
        <f>SUM(E3:E10)</f>
        <v>512</v>
      </c>
      <c r="F11" s="42">
        <f>SUM(F3:F10)</f>
        <v>128</v>
      </c>
      <c r="G11" s="41">
        <f>SUM(G3:G10)</f>
        <v>8192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F21"/>
  <sheetViews>
    <sheetView workbookViewId="0">
      <selection activeCell="H7" sqref="H7"/>
    </sheetView>
  </sheetViews>
  <sheetFormatPr defaultRowHeight="14.4" x14ac:dyDescent="0.3"/>
  <cols>
    <col min="1" max="1" width="5.88671875" bestFit="1" customWidth="1"/>
    <col min="2" max="2" width="6.44140625" bestFit="1" customWidth="1"/>
    <col min="3" max="3" width="5.5546875" bestFit="1" customWidth="1"/>
    <col min="4" max="4" width="8.77734375" bestFit="1" customWidth="1"/>
    <col min="5" max="5" width="6.33203125" bestFit="1" customWidth="1"/>
    <col min="6" max="6" width="5.44140625" bestFit="1" customWidth="1"/>
  </cols>
  <sheetData>
    <row r="1" spans="1:6" ht="34.950000000000003" customHeight="1" x14ac:dyDescent="0.3">
      <c r="A1" s="135" t="s">
        <v>99</v>
      </c>
      <c r="B1" s="123"/>
      <c r="C1" s="123"/>
      <c r="D1" s="123"/>
      <c r="E1" s="123"/>
      <c r="F1" s="123"/>
    </row>
    <row r="3" spans="1:6" x14ac:dyDescent="0.3">
      <c r="A3" s="133" t="s">
        <v>100</v>
      </c>
      <c r="B3" s="123"/>
      <c r="C3" s="123"/>
      <c r="D3" s="133" t="s">
        <v>101</v>
      </c>
      <c r="E3" s="123"/>
      <c r="F3" s="123"/>
    </row>
    <row r="4" spans="1:6" ht="28.8" x14ac:dyDescent="0.3">
      <c r="A4" s="1" t="s">
        <v>102</v>
      </c>
      <c r="B4" s="1" t="s">
        <v>103</v>
      </c>
      <c r="C4" s="1" t="s">
        <v>104</v>
      </c>
      <c r="D4" s="1" t="s">
        <v>102</v>
      </c>
      <c r="E4" s="1" t="s">
        <v>105</v>
      </c>
      <c r="F4" s="1" t="s">
        <v>106</v>
      </c>
    </row>
    <row r="5" spans="1:6" x14ac:dyDescent="0.3">
      <c r="A5" s="2">
        <v>1</v>
      </c>
      <c r="B5" s="43">
        <v>0</v>
      </c>
      <c r="C5" s="44">
        <v>0</v>
      </c>
      <c r="D5" s="2">
        <v>1</v>
      </c>
      <c r="E5" s="43">
        <v>0</v>
      </c>
      <c r="F5" s="44">
        <v>0</v>
      </c>
    </row>
    <row r="6" spans="1:6" x14ac:dyDescent="0.3">
      <c r="A6" s="6">
        <v>2</v>
      </c>
      <c r="B6" s="45">
        <v>3</v>
      </c>
      <c r="C6" s="46">
        <v>1.5</v>
      </c>
      <c r="D6" s="6">
        <v>2</v>
      </c>
      <c r="E6" s="45">
        <v>7.4</v>
      </c>
      <c r="F6" s="46">
        <v>3.7</v>
      </c>
    </row>
    <row r="7" spans="1:6" x14ac:dyDescent="0.3">
      <c r="A7" s="2">
        <v>3</v>
      </c>
      <c r="B7" s="43">
        <v>11</v>
      </c>
      <c r="C7" s="44">
        <v>5.5</v>
      </c>
      <c r="D7" s="2">
        <v>3</v>
      </c>
      <c r="E7" s="43">
        <v>8.6</v>
      </c>
      <c r="F7" s="44">
        <v>4.3</v>
      </c>
    </row>
    <row r="8" spans="1:6" x14ac:dyDescent="0.3">
      <c r="A8" s="6">
        <v>4</v>
      </c>
      <c r="B8" s="45">
        <v>14.4</v>
      </c>
      <c r="C8" s="46">
        <v>7.2</v>
      </c>
      <c r="D8" s="6">
        <v>4</v>
      </c>
      <c r="E8" s="45">
        <v>16</v>
      </c>
      <c r="F8" s="46">
        <v>8</v>
      </c>
    </row>
    <row r="9" spans="1:6" x14ac:dyDescent="0.3">
      <c r="A9" s="2">
        <v>5</v>
      </c>
      <c r="B9" s="43">
        <v>15.6</v>
      </c>
      <c r="C9" s="44">
        <v>7.8</v>
      </c>
    </row>
    <row r="10" spans="1:6" x14ac:dyDescent="0.3">
      <c r="A10" s="6">
        <v>6</v>
      </c>
      <c r="B10" s="45">
        <v>19</v>
      </c>
      <c r="C10" s="46">
        <v>9.5</v>
      </c>
    </row>
    <row r="11" spans="1:6" x14ac:dyDescent="0.3">
      <c r="A11" s="2">
        <v>7</v>
      </c>
      <c r="B11" s="43">
        <v>27</v>
      </c>
      <c r="C11" s="44">
        <v>13.5</v>
      </c>
    </row>
    <row r="12" spans="1:6" x14ac:dyDescent="0.3">
      <c r="A12" s="6">
        <v>8</v>
      </c>
      <c r="B12" s="45">
        <v>30</v>
      </c>
      <c r="C12" s="46">
        <v>15</v>
      </c>
    </row>
    <row r="14" spans="1:6" x14ac:dyDescent="0.3">
      <c r="A14" s="134" t="s">
        <v>107</v>
      </c>
      <c r="B14" s="123"/>
      <c r="C14" s="123"/>
    </row>
    <row r="15" spans="1:6" x14ac:dyDescent="0.3">
      <c r="A15" s="47" t="s">
        <v>108</v>
      </c>
      <c r="B15" s="48">
        <v>3</v>
      </c>
      <c r="C15" s="49">
        <v>1.5</v>
      </c>
    </row>
    <row r="16" spans="1:6" x14ac:dyDescent="0.3">
      <c r="A16" s="47" t="s">
        <v>109</v>
      </c>
      <c r="B16" s="48">
        <v>8</v>
      </c>
      <c r="C16" s="49">
        <v>4</v>
      </c>
    </row>
    <row r="17" spans="1:3" x14ac:dyDescent="0.3">
      <c r="A17" s="47" t="s">
        <v>110</v>
      </c>
      <c r="B17" s="48">
        <v>3.4</v>
      </c>
      <c r="C17" s="49">
        <v>1.7</v>
      </c>
    </row>
    <row r="18" spans="1:3" x14ac:dyDescent="0.3">
      <c r="A18" s="47" t="s">
        <v>111</v>
      </c>
      <c r="B18" s="48">
        <v>1.1999999999999991</v>
      </c>
      <c r="C18" s="49">
        <v>0.59999999999999964</v>
      </c>
    </row>
    <row r="19" spans="1:3" x14ac:dyDescent="0.3">
      <c r="A19" s="47" t="s">
        <v>112</v>
      </c>
      <c r="B19" s="48">
        <v>3.4</v>
      </c>
      <c r="C19" s="49">
        <v>1.7</v>
      </c>
    </row>
    <row r="20" spans="1:3" x14ac:dyDescent="0.3">
      <c r="A20" s="47" t="s">
        <v>113</v>
      </c>
      <c r="B20" s="48">
        <v>8</v>
      </c>
      <c r="C20" s="49">
        <v>4</v>
      </c>
    </row>
    <row r="21" spans="1:3" x14ac:dyDescent="0.3">
      <c r="A21" s="47" t="s">
        <v>114</v>
      </c>
      <c r="B21" s="48">
        <v>3</v>
      </c>
      <c r="C21" s="49">
        <v>1.5</v>
      </c>
    </row>
  </sheetData>
  <mergeCells count="4">
    <mergeCell ref="A3:C3"/>
    <mergeCell ref="A14:C14"/>
    <mergeCell ref="D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G28"/>
  <sheetViews>
    <sheetView workbookViewId="0">
      <selection sqref="A1:G1"/>
    </sheetView>
  </sheetViews>
  <sheetFormatPr defaultRowHeight="14.4" x14ac:dyDescent="0.3"/>
  <cols>
    <col min="1" max="1" width="5" customWidth="1"/>
    <col min="2" max="7" width="10" customWidth="1"/>
  </cols>
  <sheetData>
    <row r="1" spans="1:7" ht="34.950000000000003" customHeight="1" x14ac:dyDescent="0.3">
      <c r="A1" s="136" t="s">
        <v>115</v>
      </c>
      <c r="B1" s="123"/>
      <c r="C1" s="123"/>
      <c r="D1" s="123"/>
      <c r="E1" s="123"/>
      <c r="F1" s="123"/>
      <c r="G1" s="123"/>
    </row>
    <row r="2" spans="1:7" ht="28.05" customHeight="1" x14ac:dyDescent="0.3">
      <c r="A2" s="50" t="s">
        <v>2</v>
      </c>
      <c r="B2" s="50" t="s">
        <v>93</v>
      </c>
      <c r="C2" s="50" t="s">
        <v>116</v>
      </c>
      <c r="D2" s="50" t="s">
        <v>117</v>
      </c>
      <c r="E2" s="50" t="s">
        <v>118</v>
      </c>
      <c r="F2" s="50" t="s">
        <v>119</v>
      </c>
      <c r="G2" s="50" t="s">
        <v>120</v>
      </c>
    </row>
    <row r="3" spans="1:7" x14ac:dyDescent="0.3">
      <c r="A3" s="2">
        <v>0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</row>
    <row r="4" spans="1:7" x14ac:dyDescent="0.3">
      <c r="A4" s="6">
        <v>1</v>
      </c>
      <c r="B4" s="27">
        <v>9</v>
      </c>
      <c r="C4" s="27">
        <v>4.5</v>
      </c>
      <c r="D4" s="27">
        <v>9</v>
      </c>
      <c r="E4" s="27">
        <v>4.5</v>
      </c>
      <c r="F4" s="27">
        <v>9</v>
      </c>
      <c r="G4" s="27">
        <v>4.5</v>
      </c>
    </row>
    <row r="5" spans="1:7" x14ac:dyDescent="0.3">
      <c r="A5" s="2">
        <v>2</v>
      </c>
      <c r="B5" s="51">
        <v>15</v>
      </c>
      <c r="C5" s="51">
        <v>7.5</v>
      </c>
      <c r="D5" s="51">
        <v>6</v>
      </c>
      <c r="E5" s="51">
        <v>3</v>
      </c>
      <c r="F5" s="51">
        <v>15</v>
      </c>
      <c r="G5" s="51">
        <v>7.5</v>
      </c>
    </row>
    <row r="6" spans="1:7" x14ac:dyDescent="0.3">
      <c r="A6" s="6">
        <v>3</v>
      </c>
      <c r="B6" s="27">
        <v>21</v>
      </c>
      <c r="C6" s="27">
        <v>10.5</v>
      </c>
      <c r="D6" s="27">
        <v>6</v>
      </c>
      <c r="E6" s="27">
        <v>3</v>
      </c>
      <c r="F6" s="27">
        <v>21</v>
      </c>
      <c r="G6" s="27">
        <v>10.5</v>
      </c>
    </row>
    <row r="7" spans="1:7" x14ac:dyDescent="0.3">
      <c r="A7" s="2">
        <v>4</v>
      </c>
      <c r="B7" s="51">
        <v>27</v>
      </c>
      <c r="C7" s="51">
        <v>13.5</v>
      </c>
      <c r="D7" s="51">
        <v>6</v>
      </c>
      <c r="E7" s="51">
        <v>3</v>
      </c>
      <c r="F7" s="51">
        <v>27</v>
      </c>
      <c r="G7" s="51">
        <v>13.5</v>
      </c>
    </row>
    <row r="8" spans="1:7" x14ac:dyDescent="0.3">
      <c r="A8" s="10">
        <v>5</v>
      </c>
      <c r="B8" s="28">
        <v>33</v>
      </c>
      <c r="C8" s="28">
        <v>16.5</v>
      </c>
      <c r="D8" s="28">
        <v>6</v>
      </c>
      <c r="E8" s="28">
        <v>3</v>
      </c>
      <c r="F8" s="28">
        <v>33</v>
      </c>
      <c r="G8" s="28">
        <v>16.5</v>
      </c>
    </row>
    <row r="9" spans="1:7" x14ac:dyDescent="0.3">
      <c r="A9" s="10">
        <v>6</v>
      </c>
      <c r="B9" s="28">
        <v>39</v>
      </c>
      <c r="C9" s="28">
        <v>19.5</v>
      </c>
      <c r="D9" s="28">
        <v>6</v>
      </c>
      <c r="E9" s="28">
        <v>3</v>
      </c>
      <c r="F9" s="28">
        <v>39</v>
      </c>
      <c r="G9" s="28">
        <v>19.5</v>
      </c>
    </row>
    <row r="10" spans="1:7" x14ac:dyDescent="0.3">
      <c r="A10" s="6">
        <v>7</v>
      </c>
      <c r="B10" s="27">
        <v>45</v>
      </c>
      <c r="C10" s="27">
        <v>22.5</v>
      </c>
      <c r="D10" s="27">
        <v>6</v>
      </c>
      <c r="E10" s="27">
        <v>3</v>
      </c>
      <c r="F10" s="27">
        <v>45</v>
      </c>
      <c r="G10" s="27">
        <v>22.5</v>
      </c>
    </row>
    <row r="11" spans="1:7" x14ac:dyDescent="0.3">
      <c r="A11" s="2">
        <v>8</v>
      </c>
      <c r="B11" s="51">
        <v>51</v>
      </c>
      <c r="C11" s="51">
        <v>25.5</v>
      </c>
      <c r="D11" s="51">
        <v>6</v>
      </c>
      <c r="E11" s="51">
        <v>3</v>
      </c>
      <c r="F11" s="51">
        <v>51</v>
      </c>
      <c r="G11" s="51">
        <v>25.5</v>
      </c>
    </row>
    <row r="12" spans="1:7" x14ac:dyDescent="0.3">
      <c r="A12" s="6">
        <v>9</v>
      </c>
      <c r="B12" s="27">
        <v>57</v>
      </c>
      <c r="C12" s="27">
        <v>28.5</v>
      </c>
      <c r="D12" s="27">
        <v>6</v>
      </c>
      <c r="E12" s="27">
        <v>3</v>
      </c>
      <c r="F12" s="27">
        <v>57</v>
      </c>
      <c r="G12" s="27">
        <v>28.5</v>
      </c>
    </row>
    <row r="13" spans="1:7" x14ac:dyDescent="0.3">
      <c r="A13" s="2">
        <v>10</v>
      </c>
      <c r="B13" s="51">
        <v>63</v>
      </c>
      <c r="C13" s="51">
        <v>31.5</v>
      </c>
      <c r="D13" s="51">
        <v>6</v>
      </c>
      <c r="E13" s="51">
        <v>3</v>
      </c>
      <c r="F13" s="51">
        <v>63</v>
      </c>
      <c r="G13" s="51">
        <v>31.5</v>
      </c>
    </row>
    <row r="14" spans="1:7" x14ac:dyDescent="0.3">
      <c r="A14" s="10">
        <v>11</v>
      </c>
      <c r="B14" s="28">
        <v>69</v>
      </c>
      <c r="C14" s="28">
        <v>34.5</v>
      </c>
      <c r="D14" s="28">
        <v>6</v>
      </c>
      <c r="E14" s="28">
        <v>3</v>
      </c>
      <c r="F14" s="28">
        <v>69</v>
      </c>
      <c r="G14" s="28">
        <v>34.5</v>
      </c>
    </row>
    <row r="15" spans="1:7" x14ac:dyDescent="0.3">
      <c r="A15" s="10">
        <v>12</v>
      </c>
      <c r="B15" s="28">
        <v>75</v>
      </c>
      <c r="C15" s="28">
        <v>37.5</v>
      </c>
      <c r="D15" s="28">
        <v>6</v>
      </c>
      <c r="E15" s="28">
        <v>3</v>
      </c>
      <c r="F15" s="28">
        <v>75</v>
      </c>
      <c r="G15" s="28">
        <v>37.5</v>
      </c>
    </row>
    <row r="16" spans="1:7" x14ac:dyDescent="0.3">
      <c r="A16" s="6">
        <v>13</v>
      </c>
      <c r="B16" s="27">
        <v>81</v>
      </c>
      <c r="C16" s="27">
        <v>40.5</v>
      </c>
      <c r="D16" s="27">
        <v>6</v>
      </c>
      <c r="E16" s="27">
        <v>3</v>
      </c>
      <c r="F16" s="27">
        <v>81</v>
      </c>
      <c r="G16" s="27">
        <v>40.5</v>
      </c>
    </row>
    <row r="17" spans="1:7" x14ac:dyDescent="0.3">
      <c r="A17" s="2">
        <v>14</v>
      </c>
      <c r="B17" s="51">
        <v>87</v>
      </c>
      <c r="C17" s="51">
        <v>43.5</v>
      </c>
      <c r="D17" s="51">
        <v>6</v>
      </c>
      <c r="E17" s="51">
        <v>3</v>
      </c>
      <c r="F17" s="51">
        <v>87</v>
      </c>
      <c r="G17" s="51">
        <v>43.5</v>
      </c>
    </row>
    <row r="18" spans="1:7" x14ac:dyDescent="0.3">
      <c r="A18" s="6">
        <v>15</v>
      </c>
      <c r="B18" s="27">
        <v>93</v>
      </c>
      <c r="C18" s="27">
        <v>46.5</v>
      </c>
      <c r="D18" s="27">
        <v>6</v>
      </c>
      <c r="E18" s="27">
        <v>3</v>
      </c>
      <c r="F18" s="27">
        <v>93</v>
      </c>
      <c r="G18" s="27">
        <v>46.5</v>
      </c>
    </row>
    <row r="19" spans="1:7" x14ac:dyDescent="0.3">
      <c r="A19" s="2">
        <v>16</v>
      </c>
      <c r="B19" s="51">
        <v>99</v>
      </c>
      <c r="C19" s="51">
        <v>49.5</v>
      </c>
      <c r="D19" s="51">
        <v>6</v>
      </c>
      <c r="E19" s="51">
        <v>3</v>
      </c>
      <c r="F19" s="51">
        <v>99</v>
      </c>
      <c r="G19" s="51">
        <v>49.5</v>
      </c>
    </row>
    <row r="20" spans="1:7" x14ac:dyDescent="0.3">
      <c r="A20" s="10">
        <v>17</v>
      </c>
      <c r="B20" s="28">
        <v>105</v>
      </c>
      <c r="C20" s="28">
        <v>52.5</v>
      </c>
      <c r="D20" s="28">
        <v>6</v>
      </c>
      <c r="E20" s="28">
        <v>3</v>
      </c>
      <c r="F20" s="28">
        <v>105</v>
      </c>
      <c r="G20" s="28">
        <v>52.5</v>
      </c>
    </row>
    <row r="21" spans="1:7" x14ac:dyDescent="0.3">
      <c r="A21" s="10">
        <v>18</v>
      </c>
      <c r="B21" s="28">
        <v>111</v>
      </c>
      <c r="C21" s="28">
        <v>55.5</v>
      </c>
      <c r="D21" s="28">
        <v>6</v>
      </c>
      <c r="E21" s="28">
        <v>3</v>
      </c>
      <c r="F21" s="28">
        <v>111</v>
      </c>
      <c r="G21" s="28">
        <v>55.5</v>
      </c>
    </row>
    <row r="22" spans="1:7" x14ac:dyDescent="0.3">
      <c r="A22" s="6">
        <v>19</v>
      </c>
      <c r="B22" s="27">
        <v>117</v>
      </c>
      <c r="C22" s="27">
        <v>58.5</v>
      </c>
      <c r="D22" s="27">
        <v>6</v>
      </c>
      <c r="E22" s="27">
        <v>3</v>
      </c>
      <c r="F22" s="27">
        <v>117</v>
      </c>
      <c r="G22" s="27">
        <v>58.5</v>
      </c>
    </row>
    <row r="23" spans="1:7" x14ac:dyDescent="0.3">
      <c r="A23" s="2">
        <v>20</v>
      </c>
      <c r="B23" s="51">
        <v>123</v>
      </c>
      <c r="C23" s="51">
        <v>61.5</v>
      </c>
      <c r="D23" s="51">
        <v>6</v>
      </c>
      <c r="E23" s="51">
        <v>3</v>
      </c>
      <c r="F23" s="51">
        <v>123</v>
      </c>
      <c r="G23" s="51">
        <v>61.5</v>
      </c>
    </row>
    <row r="24" spans="1:7" x14ac:dyDescent="0.3">
      <c r="A24" s="6">
        <v>21</v>
      </c>
      <c r="B24" s="27">
        <v>129</v>
      </c>
      <c r="C24" s="27">
        <v>64.5</v>
      </c>
      <c r="D24" s="27">
        <v>6</v>
      </c>
      <c r="E24" s="27">
        <v>3</v>
      </c>
      <c r="F24" s="27">
        <v>129</v>
      </c>
      <c r="G24" s="27">
        <v>64.5</v>
      </c>
    </row>
    <row r="25" spans="1:7" x14ac:dyDescent="0.3">
      <c r="A25" s="2">
        <v>22</v>
      </c>
      <c r="B25" s="51">
        <v>135</v>
      </c>
      <c r="C25" s="51">
        <v>67.5</v>
      </c>
      <c r="D25" s="51">
        <v>6</v>
      </c>
      <c r="E25" s="51">
        <v>3</v>
      </c>
      <c r="F25" s="51">
        <v>135</v>
      </c>
      <c r="G25" s="51">
        <v>67.5</v>
      </c>
    </row>
    <row r="26" spans="1:7" x14ac:dyDescent="0.3">
      <c r="A26" s="10">
        <v>23</v>
      </c>
      <c r="B26" s="28">
        <v>141</v>
      </c>
      <c r="C26" s="28">
        <v>70.5</v>
      </c>
      <c r="D26" s="28">
        <v>6</v>
      </c>
      <c r="E26" s="28">
        <v>3</v>
      </c>
      <c r="F26" s="28">
        <v>141</v>
      </c>
      <c r="G26" s="28">
        <v>70.5</v>
      </c>
    </row>
    <row r="27" spans="1:7" x14ac:dyDescent="0.3">
      <c r="A27" s="2">
        <v>24</v>
      </c>
      <c r="B27" s="51">
        <v>147</v>
      </c>
      <c r="C27" s="51">
        <v>73.5</v>
      </c>
      <c r="D27" s="51">
        <v>6</v>
      </c>
      <c r="E27" s="51">
        <v>3</v>
      </c>
      <c r="F27" s="51">
        <v>147</v>
      </c>
      <c r="G27" s="51">
        <v>73.5</v>
      </c>
    </row>
    <row r="28" spans="1:7" x14ac:dyDescent="0.3">
      <c r="A28" s="10">
        <v>25</v>
      </c>
      <c r="B28" s="28">
        <v>153</v>
      </c>
      <c r="C28" s="28">
        <v>76.5</v>
      </c>
      <c r="D28" s="28">
        <v>6</v>
      </c>
      <c r="E28" s="28">
        <v>3</v>
      </c>
      <c r="F28" s="28">
        <v>153</v>
      </c>
      <c r="G28" s="28">
        <v>76.5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7AE60"/>
  </sheetPr>
  <dimension ref="A1:G44"/>
  <sheetViews>
    <sheetView topLeftCell="D12" workbookViewId="0">
      <selection sqref="A1:G1"/>
    </sheetView>
  </sheetViews>
  <sheetFormatPr defaultRowHeight="14.4" x14ac:dyDescent="0.3"/>
  <cols>
    <col min="1" max="1" width="5" customWidth="1"/>
    <col min="2" max="2" width="14" customWidth="1"/>
    <col min="3" max="3" width="16" customWidth="1"/>
    <col min="4" max="4" width="56" customWidth="1"/>
    <col min="5" max="6" width="14" customWidth="1"/>
    <col min="7" max="7" width="10" customWidth="1"/>
  </cols>
  <sheetData>
    <row r="1" spans="1:7" ht="34.950000000000003" customHeight="1" x14ac:dyDescent="0.3">
      <c r="A1" s="138" t="s">
        <v>121</v>
      </c>
      <c r="B1" s="123"/>
      <c r="C1" s="123"/>
      <c r="D1" s="123"/>
      <c r="E1" s="123"/>
      <c r="F1" s="123"/>
      <c r="G1" s="123"/>
    </row>
    <row r="2" spans="1:7" ht="22.05" customHeight="1" x14ac:dyDescent="0.3">
      <c r="A2" s="140" t="s">
        <v>122</v>
      </c>
      <c r="B2" s="123"/>
      <c r="C2" s="123"/>
      <c r="D2" s="123"/>
      <c r="E2" s="123"/>
      <c r="F2" s="123"/>
      <c r="G2" s="123"/>
    </row>
    <row r="3" spans="1:7" ht="28.05" customHeight="1" x14ac:dyDescent="0.3">
      <c r="A3" s="52" t="s">
        <v>2</v>
      </c>
      <c r="B3" s="52" t="s">
        <v>123</v>
      </c>
      <c r="C3" s="52" t="s">
        <v>3</v>
      </c>
      <c r="D3" s="52" t="s">
        <v>124</v>
      </c>
      <c r="E3" s="52" t="s">
        <v>125</v>
      </c>
      <c r="F3" s="52" t="s">
        <v>126</v>
      </c>
      <c r="G3" s="52" t="s">
        <v>127</v>
      </c>
    </row>
    <row r="4" spans="1:7" x14ac:dyDescent="0.3">
      <c r="A4" s="53">
        <v>0</v>
      </c>
      <c r="B4" s="53" t="s">
        <v>128</v>
      </c>
      <c r="C4" s="54" t="s">
        <v>128</v>
      </c>
      <c r="D4" s="54" t="s">
        <v>129</v>
      </c>
      <c r="E4" s="55">
        <v>0</v>
      </c>
      <c r="F4" s="55">
        <v>240</v>
      </c>
      <c r="G4" s="56">
        <v>0</v>
      </c>
    </row>
    <row r="5" spans="1:7" ht="27.6" x14ac:dyDescent="0.3">
      <c r="A5" s="57">
        <v>1</v>
      </c>
      <c r="B5" s="57" t="s">
        <v>130</v>
      </c>
      <c r="C5" s="58" t="s">
        <v>12</v>
      </c>
      <c r="D5" s="58" t="s">
        <v>13</v>
      </c>
      <c r="E5" s="59">
        <v>299.35300000000001</v>
      </c>
      <c r="F5" s="59">
        <v>240</v>
      </c>
      <c r="G5" s="60">
        <v>3.9050260227230453E-2</v>
      </c>
    </row>
    <row r="6" spans="1:7" ht="27.6" x14ac:dyDescent="0.3">
      <c r="A6" s="61">
        <v>2</v>
      </c>
      <c r="B6" s="61" t="s">
        <v>131</v>
      </c>
      <c r="C6" s="62" t="s">
        <v>14</v>
      </c>
      <c r="D6" s="62" t="s">
        <v>15</v>
      </c>
      <c r="E6" s="63">
        <v>299.35300000000001</v>
      </c>
      <c r="F6" s="63">
        <v>240</v>
      </c>
      <c r="G6" s="64">
        <v>3.9050260227230453E-2</v>
      </c>
    </row>
    <row r="7" spans="1:7" ht="27.6" x14ac:dyDescent="0.3">
      <c r="A7" s="61">
        <v>3</v>
      </c>
      <c r="B7" s="61" t="s">
        <v>131</v>
      </c>
      <c r="C7" s="62" t="s">
        <v>16</v>
      </c>
      <c r="D7" s="62" t="s">
        <v>17</v>
      </c>
      <c r="E7" s="63">
        <v>299.35300000000001</v>
      </c>
      <c r="F7" s="63">
        <v>240</v>
      </c>
      <c r="G7" s="64">
        <v>3.9050260227230453E-2</v>
      </c>
    </row>
    <row r="8" spans="1:7" ht="27.6" x14ac:dyDescent="0.3">
      <c r="A8" s="65">
        <v>4</v>
      </c>
      <c r="B8" s="65" t="s">
        <v>132</v>
      </c>
      <c r="C8" s="66" t="s">
        <v>18</v>
      </c>
      <c r="D8" s="66" t="s">
        <v>19</v>
      </c>
      <c r="E8" s="67">
        <v>299.35300000000001</v>
      </c>
      <c r="F8" s="67">
        <v>240</v>
      </c>
      <c r="G8" s="68">
        <v>3.9050260227230453E-2</v>
      </c>
    </row>
    <row r="9" spans="1:7" ht="27.6" x14ac:dyDescent="0.3">
      <c r="A9" s="69">
        <v>5</v>
      </c>
      <c r="B9" s="69" t="s">
        <v>133</v>
      </c>
      <c r="C9" s="70" t="s">
        <v>20</v>
      </c>
      <c r="D9" s="70" t="s">
        <v>21</v>
      </c>
      <c r="E9" s="71">
        <v>315.35300000000001</v>
      </c>
      <c r="F9" s="71">
        <v>256</v>
      </c>
      <c r="G9" s="72">
        <v>4.1137442128316083E-2</v>
      </c>
    </row>
    <row r="10" spans="1:7" ht="27.6" x14ac:dyDescent="0.3">
      <c r="A10" s="10">
        <v>6</v>
      </c>
      <c r="B10" s="10" t="s">
        <v>134</v>
      </c>
      <c r="C10" s="11" t="s">
        <v>22</v>
      </c>
      <c r="D10" s="11" t="s">
        <v>23</v>
      </c>
      <c r="E10" s="13">
        <v>315.35300000000001</v>
      </c>
      <c r="F10" s="13">
        <v>256</v>
      </c>
      <c r="G10" s="19">
        <v>4.1137442128316083E-2</v>
      </c>
    </row>
    <row r="11" spans="1:7" ht="27.6" x14ac:dyDescent="0.3">
      <c r="A11" s="69">
        <v>7</v>
      </c>
      <c r="B11" s="69" t="s">
        <v>133</v>
      </c>
      <c r="C11" s="70" t="s">
        <v>20</v>
      </c>
      <c r="D11" s="70" t="s">
        <v>24</v>
      </c>
      <c r="E11" s="71">
        <v>299.35300000000001</v>
      </c>
      <c r="F11" s="71">
        <v>240</v>
      </c>
      <c r="G11" s="72">
        <v>3.9050260227230453E-2</v>
      </c>
    </row>
    <row r="12" spans="1:7" ht="27.6" x14ac:dyDescent="0.3">
      <c r="A12" s="69">
        <v>8</v>
      </c>
      <c r="B12" s="69" t="s">
        <v>133</v>
      </c>
      <c r="C12" s="70" t="s">
        <v>20</v>
      </c>
      <c r="D12" s="70" t="s">
        <v>25</v>
      </c>
      <c r="E12" s="71">
        <v>299.35300000000001</v>
      </c>
      <c r="F12" s="71">
        <v>240</v>
      </c>
      <c r="G12" s="72">
        <v>3.9050260227230453E-2</v>
      </c>
    </row>
    <row r="13" spans="1:7" ht="27.6" x14ac:dyDescent="0.3">
      <c r="A13" s="69">
        <v>9</v>
      </c>
      <c r="B13" s="69" t="s">
        <v>133</v>
      </c>
      <c r="C13" s="70" t="s">
        <v>20</v>
      </c>
      <c r="D13" s="70" t="s">
        <v>26</v>
      </c>
      <c r="E13" s="71">
        <v>299.35300000000001</v>
      </c>
      <c r="F13" s="71">
        <v>240</v>
      </c>
      <c r="G13" s="72">
        <v>3.9050260227230453E-2</v>
      </c>
    </row>
    <row r="14" spans="1:7" ht="27.6" x14ac:dyDescent="0.3">
      <c r="A14" s="69">
        <v>10</v>
      </c>
      <c r="B14" s="69" t="s">
        <v>133</v>
      </c>
      <c r="C14" s="70" t="s">
        <v>20</v>
      </c>
      <c r="D14" s="70" t="s">
        <v>27</v>
      </c>
      <c r="E14" s="71">
        <v>299.35300000000001</v>
      </c>
      <c r="F14" s="71">
        <v>240</v>
      </c>
      <c r="G14" s="72">
        <v>3.9050260227230453E-2</v>
      </c>
    </row>
    <row r="15" spans="1:7" ht="27.6" x14ac:dyDescent="0.3">
      <c r="A15" s="69">
        <v>11</v>
      </c>
      <c r="B15" s="69" t="s">
        <v>133</v>
      </c>
      <c r="C15" s="70" t="s">
        <v>20</v>
      </c>
      <c r="D15" s="70" t="s">
        <v>28</v>
      </c>
      <c r="E15" s="71">
        <v>315.35300000000001</v>
      </c>
      <c r="F15" s="71">
        <v>256</v>
      </c>
      <c r="G15" s="72">
        <v>4.1137442128316083E-2</v>
      </c>
    </row>
    <row r="16" spans="1:7" ht="27.6" x14ac:dyDescent="0.3">
      <c r="A16" s="10">
        <v>12</v>
      </c>
      <c r="B16" s="10" t="s">
        <v>134</v>
      </c>
      <c r="C16" s="11" t="s">
        <v>29</v>
      </c>
      <c r="D16" s="11" t="s">
        <v>30</v>
      </c>
      <c r="E16" s="13">
        <v>315.35300000000001</v>
      </c>
      <c r="F16" s="13">
        <v>256</v>
      </c>
      <c r="G16" s="19">
        <v>4.1137442128316083E-2</v>
      </c>
    </row>
    <row r="17" spans="1:7" ht="27.6" x14ac:dyDescent="0.3">
      <c r="A17" s="73">
        <v>13</v>
      </c>
      <c r="B17" s="73" t="s">
        <v>135</v>
      </c>
      <c r="C17" s="74" t="s">
        <v>20</v>
      </c>
      <c r="D17" s="74" t="s">
        <v>31</v>
      </c>
      <c r="E17" s="75">
        <v>299.35300000000001</v>
      </c>
      <c r="F17" s="75">
        <v>240</v>
      </c>
      <c r="G17" s="76">
        <v>3.9050260227230453E-2</v>
      </c>
    </row>
    <row r="18" spans="1:7" ht="27.6" x14ac:dyDescent="0.3">
      <c r="A18" s="73">
        <v>14</v>
      </c>
      <c r="B18" s="73" t="s">
        <v>135</v>
      </c>
      <c r="C18" s="74" t="s">
        <v>20</v>
      </c>
      <c r="D18" s="74" t="s">
        <v>32</v>
      </c>
      <c r="E18" s="75">
        <v>299.35300000000001</v>
      </c>
      <c r="F18" s="75">
        <v>240</v>
      </c>
      <c r="G18" s="76">
        <v>3.9050260227230453E-2</v>
      </c>
    </row>
    <row r="19" spans="1:7" ht="27.6" x14ac:dyDescent="0.3">
      <c r="A19" s="73">
        <v>15</v>
      </c>
      <c r="B19" s="73" t="s">
        <v>135</v>
      </c>
      <c r="C19" s="74" t="s">
        <v>20</v>
      </c>
      <c r="D19" s="74" t="s">
        <v>33</v>
      </c>
      <c r="E19" s="75">
        <v>299.35300000000001</v>
      </c>
      <c r="F19" s="75">
        <v>240</v>
      </c>
      <c r="G19" s="76">
        <v>3.9050260227230453E-2</v>
      </c>
    </row>
    <row r="20" spans="1:7" ht="27.6" x14ac:dyDescent="0.3">
      <c r="A20" s="73">
        <v>16</v>
      </c>
      <c r="B20" s="73" t="s">
        <v>135</v>
      </c>
      <c r="C20" s="74" t="s">
        <v>20</v>
      </c>
      <c r="D20" s="74" t="s">
        <v>34</v>
      </c>
      <c r="E20" s="75">
        <v>299.35300000000001</v>
      </c>
      <c r="F20" s="75">
        <v>240</v>
      </c>
      <c r="G20" s="76">
        <v>3.9050260227230453E-2</v>
      </c>
    </row>
    <row r="21" spans="1:7" ht="27.6" x14ac:dyDescent="0.3">
      <c r="A21" s="77">
        <v>17</v>
      </c>
      <c r="B21" s="77" t="s">
        <v>136</v>
      </c>
      <c r="C21" s="78" t="s">
        <v>20</v>
      </c>
      <c r="D21" s="78" t="s">
        <v>35</v>
      </c>
      <c r="E21" s="79">
        <v>315.35300000000001</v>
      </c>
      <c r="F21" s="79">
        <v>256</v>
      </c>
      <c r="G21" s="80">
        <v>4.1137442128316083E-2</v>
      </c>
    </row>
    <row r="22" spans="1:7" ht="27.6" x14ac:dyDescent="0.3">
      <c r="A22" s="10">
        <v>18</v>
      </c>
      <c r="B22" s="10" t="s">
        <v>134</v>
      </c>
      <c r="C22" s="11" t="s">
        <v>36</v>
      </c>
      <c r="D22" s="11" t="s">
        <v>37</v>
      </c>
      <c r="E22" s="13">
        <v>315.35300000000001</v>
      </c>
      <c r="F22" s="13">
        <v>256</v>
      </c>
      <c r="G22" s="19">
        <v>4.1137442128316083E-2</v>
      </c>
    </row>
    <row r="23" spans="1:7" ht="27.6" x14ac:dyDescent="0.3">
      <c r="A23" s="81">
        <v>19</v>
      </c>
      <c r="B23" s="81" t="s">
        <v>137</v>
      </c>
      <c r="C23" s="82" t="s">
        <v>38</v>
      </c>
      <c r="D23" s="82" t="s">
        <v>39</v>
      </c>
      <c r="E23" s="83">
        <v>299.35300000000001</v>
      </c>
      <c r="F23" s="83">
        <v>240</v>
      </c>
      <c r="G23" s="84">
        <v>3.9050260227230453E-2</v>
      </c>
    </row>
    <row r="24" spans="1:7" ht="27.6" x14ac:dyDescent="0.3">
      <c r="A24" s="81">
        <v>20</v>
      </c>
      <c r="B24" s="81" t="s">
        <v>137</v>
      </c>
      <c r="C24" s="82" t="s">
        <v>38</v>
      </c>
      <c r="D24" s="82" t="s">
        <v>40</v>
      </c>
      <c r="E24" s="83">
        <v>299.35300000000001</v>
      </c>
      <c r="F24" s="83">
        <v>240</v>
      </c>
      <c r="G24" s="84">
        <v>3.9050260227230453E-2</v>
      </c>
    </row>
    <row r="25" spans="1:7" ht="27.6" x14ac:dyDescent="0.3">
      <c r="A25" s="81">
        <v>21</v>
      </c>
      <c r="B25" s="81" t="s">
        <v>137</v>
      </c>
      <c r="C25" s="82" t="s">
        <v>38</v>
      </c>
      <c r="D25" s="82" t="s">
        <v>41</v>
      </c>
      <c r="E25" s="83">
        <v>299.35300000000001</v>
      </c>
      <c r="F25" s="83">
        <v>240</v>
      </c>
      <c r="G25" s="84">
        <v>3.9050260227230453E-2</v>
      </c>
    </row>
    <row r="26" spans="1:7" ht="27.6" x14ac:dyDescent="0.3">
      <c r="A26" s="85">
        <v>22</v>
      </c>
      <c r="B26" s="85" t="s">
        <v>138</v>
      </c>
      <c r="C26" s="86" t="s">
        <v>42</v>
      </c>
      <c r="D26" s="86" t="s">
        <v>43</v>
      </c>
      <c r="E26" s="87">
        <v>317.35759999999999</v>
      </c>
      <c r="F26" s="87">
        <v>240</v>
      </c>
      <c r="G26" s="88">
        <v>4.1398939930748342E-2</v>
      </c>
    </row>
    <row r="27" spans="1:7" ht="27.6" x14ac:dyDescent="0.3">
      <c r="A27" s="85">
        <v>23</v>
      </c>
      <c r="B27" s="85" t="s">
        <v>138</v>
      </c>
      <c r="C27" s="86" t="s">
        <v>44</v>
      </c>
      <c r="D27" s="86" t="s">
        <v>45</v>
      </c>
      <c r="E27" s="87">
        <v>333.35759999999999</v>
      </c>
      <c r="F27" s="87">
        <v>256</v>
      </c>
      <c r="G27" s="88">
        <v>4.3486121831833972E-2</v>
      </c>
    </row>
    <row r="28" spans="1:7" ht="27.6" x14ac:dyDescent="0.3">
      <c r="A28" s="89">
        <v>24</v>
      </c>
      <c r="B28" s="89" t="s">
        <v>139</v>
      </c>
      <c r="C28" s="90" t="s">
        <v>46</v>
      </c>
      <c r="D28" s="90" t="s">
        <v>47</v>
      </c>
      <c r="E28" s="91">
        <v>317.35759999999999</v>
      </c>
      <c r="F28" s="91">
        <v>240</v>
      </c>
      <c r="G28" s="92">
        <v>4.1398939930748342E-2</v>
      </c>
    </row>
    <row r="29" spans="1:7" ht="27.6" x14ac:dyDescent="0.3">
      <c r="A29" s="93">
        <v>25</v>
      </c>
      <c r="B29" s="93" t="s">
        <v>140</v>
      </c>
      <c r="C29" s="94" t="s">
        <v>48</v>
      </c>
      <c r="D29" s="94" t="s">
        <v>49</v>
      </c>
      <c r="E29" s="95">
        <v>315.35300000000001</v>
      </c>
      <c r="F29" s="95">
        <v>256</v>
      </c>
      <c r="G29" s="96">
        <v>4.1137442128316083E-2</v>
      </c>
    </row>
    <row r="30" spans="1:7" x14ac:dyDescent="0.3">
      <c r="A30" s="139" t="s">
        <v>50</v>
      </c>
      <c r="B30" s="123"/>
      <c r="C30" s="123"/>
      <c r="D30" s="123"/>
      <c r="E30" s="97">
        <f>SUM(E4:E29)</f>
        <v>7665.8388000000014</v>
      </c>
      <c r="F30" s="97">
        <f>SUM(F4:F29)</f>
        <v>6368</v>
      </c>
      <c r="G30" s="98">
        <f>SUM(G4:G29)</f>
        <v>1.0000000000000002</v>
      </c>
    </row>
    <row r="32" spans="1:7" x14ac:dyDescent="0.3">
      <c r="A32" s="137" t="s">
        <v>141</v>
      </c>
      <c r="B32" s="123"/>
      <c r="C32" s="123"/>
      <c r="D32" s="123"/>
      <c r="E32" s="123"/>
      <c r="F32" s="123"/>
      <c r="G32" s="123"/>
    </row>
    <row r="33" spans="1:6" x14ac:dyDescent="0.3">
      <c r="A33" s="141" t="s">
        <v>123</v>
      </c>
      <c r="B33" s="52" t="s">
        <v>142</v>
      </c>
      <c r="C33" s="52" t="s">
        <v>143</v>
      </c>
      <c r="D33" s="52" t="s">
        <v>144</v>
      </c>
      <c r="E33" s="52" t="s">
        <v>145</v>
      </c>
      <c r="F33" s="52" t="s">
        <v>146</v>
      </c>
    </row>
    <row r="34" spans="1:6" x14ac:dyDescent="0.3">
      <c r="A34" s="99" t="s">
        <v>130</v>
      </c>
      <c r="B34" s="57" t="s">
        <v>147</v>
      </c>
      <c r="C34" s="57">
        <v>1</v>
      </c>
      <c r="D34" s="59">
        <v>299.35300000000001</v>
      </c>
      <c r="E34" s="59">
        <v>240</v>
      </c>
      <c r="F34" s="60">
        <v>3.9050260227230453E-2</v>
      </c>
    </row>
    <row r="35" spans="1:6" ht="27.6" x14ac:dyDescent="0.3">
      <c r="A35" s="100" t="s">
        <v>131</v>
      </c>
      <c r="B35" s="61" t="s">
        <v>148</v>
      </c>
      <c r="C35" s="61">
        <v>2</v>
      </c>
      <c r="D35" s="63">
        <v>598.70600000000002</v>
      </c>
      <c r="E35" s="63">
        <v>480</v>
      </c>
      <c r="F35" s="64">
        <v>7.8100520454460892E-2</v>
      </c>
    </row>
    <row r="36" spans="1:6" ht="27.6" x14ac:dyDescent="0.3">
      <c r="A36" s="101" t="s">
        <v>132</v>
      </c>
      <c r="B36" s="65" t="s">
        <v>149</v>
      </c>
      <c r="C36" s="65">
        <v>1</v>
      </c>
      <c r="D36" s="67">
        <v>299.35300000000001</v>
      </c>
      <c r="E36" s="67">
        <v>240</v>
      </c>
      <c r="F36" s="68">
        <v>3.9050260227230453E-2</v>
      </c>
    </row>
    <row r="37" spans="1:6" ht="27.6" x14ac:dyDescent="0.3">
      <c r="A37" s="102" t="s">
        <v>133</v>
      </c>
      <c r="B37" s="69" t="s">
        <v>150</v>
      </c>
      <c r="C37" s="69">
        <v>6</v>
      </c>
      <c r="D37" s="71">
        <v>1828.1179999999999</v>
      </c>
      <c r="E37" s="71">
        <v>1472</v>
      </c>
      <c r="F37" s="72">
        <v>0.23847592516555399</v>
      </c>
    </row>
    <row r="38" spans="1:6" ht="27.6" x14ac:dyDescent="0.3">
      <c r="A38" s="103" t="s">
        <v>134</v>
      </c>
      <c r="B38" s="104" t="s">
        <v>151</v>
      </c>
      <c r="C38" s="104">
        <v>3</v>
      </c>
      <c r="D38" s="105">
        <v>946.05899999999997</v>
      </c>
      <c r="E38" s="105">
        <v>768</v>
      </c>
      <c r="F38" s="106">
        <v>0.1234123263849482</v>
      </c>
    </row>
    <row r="39" spans="1:6" ht="27.6" x14ac:dyDescent="0.3">
      <c r="A39" s="107" t="s">
        <v>135</v>
      </c>
      <c r="B39" s="73" t="s">
        <v>152</v>
      </c>
      <c r="C39" s="73">
        <v>4</v>
      </c>
      <c r="D39" s="75">
        <v>1197.412</v>
      </c>
      <c r="E39" s="75">
        <v>960</v>
      </c>
      <c r="F39" s="76">
        <v>0.15620104090892181</v>
      </c>
    </row>
    <row r="40" spans="1:6" ht="27.6" x14ac:dyDescent="0.3">
      <c r="A40" s="108" t="s">
        <v>136</v>
      </c>
      <c r="B40" s="77" t="s">
        <v>153</v>
      </c>
      <c r="C40" s="77">
        <v>1</v>
      </c>
      <c r="D40" s="79">
        <v>315.35300000000001</v>
      </c>
      <c r="E40" s="79">
        <v>256</v>
      </c>
      <c r="F40" s="80">
        <v>4.1137442128316083E-2</v>
      </c>
    </row>
    <row r="41" spans="1:6" ht="41.4" x14ac:dyDescent="0.3">
      <c r="A41" s="109" t="s">
        <v>137</v>
      </c>
      <c r="B41" s="81" t="s">
        <v>154</v>
      </c>
      <c r="C41" s="81">
        <v>3</v>
      </c>
      <c r="D41" s="83">
        <v>898.05899999999997</v>
      </c>
      <c r="E41" s="83">
        <v>720</v>
      </c>
      <c r="F41" s="84">
        <v>0.1171507806816913</v>
      </c>
    </row>
    <row r="42" spans="1:6" ht="41.4" x14ac:dyDescent="0.3">
      <c r="A42" s="110" t="s">
        <v>138</v>
      </c>
      <c r="B42" s="85" t="s">
        <v>155</v>
      </c>
      <c r="C42" s="85">
        <v>2</v>
      </c>
      <c r="D42" s="87">
        <v>650.71519999999998</v>
      </c>
      <c r="E42" s="87">
        <v>496</v>
      </c>
      <c r="F42" s="88">
        <v>8.4885061762582315E-2</v>
      </c>
    </row>
    <row r="43" spans="1:6" ht="41.4" x14ac:dyDescent="0.3">
      <c r="A43" s="111" t="s">
        <v>139</v>
      </c>
      <c r="B43" s="89" t="s">
        <v>156</v>
      </c>
      <c r="C43" s="89">
        <v>1</v>
      </c>
      <c r="D43" s="91">
        <v>317.35759999999999</v>
      </c>
      <c r="E43" s="91">
        <v>240</v>
      </c>
      <c r="F43" s="92">
        <v>4.1398939930748342E-2</v>
      </c>
    </row>
    <row r="44" spans="1:6" ht="41.4" x14ac:dyDescent="0.3">
      <c r="A44" s="112" t="s">
        <v>140</v>
      </c>
      <c r="B44" s="93" t="s">
        <v>157</v>
      </c>
      <c r="C44" s="93">
        <v>1</v>
      </c>
      <c r="D44" s="95">
        <v>315.35300000000001</v>
      </c>
      <c r="E44" s="95">
        <v>256</v>
      </c>
      <c r="F44" s="96">
        <v>4.1137442128316083E-2</v>
      </c>
    </row>
  </sheetData>
  <mergeCells count="5">
    <mergeCell ref="A32:G32"/>
    <mergeCell ref="A1:G1"/>
    <mergeCell ref="A30:D30"/>
    <mergeCell ref="A2:G2"/>
    <mergeCell ref="A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H36"/>
  <sheetViews>
    <sheetView tabSelected="1" workbookViewId="0">
      <selection activeCell="H35" sqref="H35"/>
    </sheetView>
  </sheetViews>
  <sheetFormatPr defaultRowHeight="14.4" x14ac:dyDescent="0.3"/>
  <cols>
    <col min="1" max="1" width="5" customWidth="1"/>
    <col min="2" max="2" width="16" customWidth="1"/>
    <col min="3" max="7" width="14" customWidth="1"/>
    <col min="8" max="8" width="12" customWidth="1"/>
  </cols>
  <sheetData>
    <row r="1" spans="1:8" ht="34.950000000000003" customHeight="1" x14ac:dyDescent="0.3">
      <c r="A1" s="147" t="s">
        <v>158</v>
      </c>
      <c r="B1" s="123"/>
      <c r="C1" s="123"/>
      <c r="D1" s="123"/>
      <c r="E1" s="123"/>
      <c r="F1" s="123"/>
      <c r="G1" s="123"/>
      <c r="H1" s="123"/>
    </row>
    <row r="2" spans="1:8" ht="22.05" customHeight="1" x14ac:dyDescent="0.3">
      <c r="A2" s="145" t="s">
        <v>159</v>
      </c>
      <c r="B2" s="123"/>
      <c r="C2" s="123"/>
      <c r="D2" s="123"/>
      <c r="E2" s="123"/>
      <c r="F2" s="123"/>
      <c r="G2" s="123"/>
      <c r="H2" s="123"/>
    </row>
    <row r="3" spans="1:8" ht="28.05" customHeight="1" x14ac:dyDescent="0.3">
      <c r="A3" s="113" t="s">
        <v>2</v>
      </c>
      <c r="B3" s="113" t="s">
        <v>3</v>
      </c>
      <c r="C3" s="113" t="s">
        <v>160</v>
      </c>
      <c r="D3" s="113" t="s">
        <v>161</v>
      </c>
      <c r="E3" s="113" t="s">
        <v>162</v>
      </c>
      <c r="F3" s="113" t="s">
        <v>163</v>
      </c>
      <c r="G3" s="113" t="s">
        <v>164</v>
      </c>
      <c r="H3" s="113" t="s">
        <v>165</v>
      </c>
    </row>
    <row r="4" spans="1:8" x14ac:dyDescent="0.3">
      <c r="A4" s="114">
        <v>1</v>
      </c>
      <c r="B4" s="115" t="s">
        <v>12</v>
      </c>
      <c r="C4" s="116">
        <v>120</v>
      </c>
      <c r="D4" s="116">
        <v>149.6765</v>
      </c>
      <c r="E4" s="116">
        <v>29.676500000000001</v>
      </c>
      <c r="F4" s="116">
        <v>240</v>
      </c>
      <c r="G4" s="116">
        <v>299.35300000000001</v>
      </c>
      <c r="H4" s="117">
        <v>0.24730416666666671</v>
      </c>
    </row>
    <row r="5" spans="1:8" x14ac:dyDescent="0.3">
      <c r="A5" s="6">
        <v>2</v>
      </c>
      <c r="B5" s="7" t="s">
        <v>14</v>
      </c>
      <c r="C5" s="9">
        <v>120</v>
      </c>
      <c r="D5" s="9">
        <v>149.6765</v>
      </c>
      <c r="E5" s="9">
        <v>29.676500000000001</v>
      </c>
      <c r="F5" s="9">
        <v>240</v>
      </c>
      <c r="G5" s="9">
        <v>299.35300000000001</v>
      </c>
      <c r="H5" s="118">
        <v>0.24730416666666671</v>
      </c>
    </row>
    <row r="6" spans="1:8" x14ac:dyDescent="0.3">
      <c r="A6" s="114">
        <v>3</v>
      </c>
      <c r="B6" s="115" t="s">
        <v>16</v>
      </c>
      <c r="C6" s="116">
        <v>120</v>
      </c>
      <c r="D6" s="116">
        <v>149.6765</v>
      </c>
      <c r="E6" s="116">
        <v>29.676500000000001</v>
      </c>
      <c r="F6" s="116">
        <v>240</v>
      </c>
      <c r="G6" s="116">
        <v>299.35300000000001</v>
      </c>
      <c r="H6" s="117">
        <v>0.24730416666666671</v>
      </c>
    </row>
    <row r="7" spans="1:8" x14ac:dyDescent="0.3">
      <c r="A7" s="6">
        <v>4</v>
      </c>
      <c r="B7" s="7" t="s">
        <v>18</v>
      </c>
      <c r="C7" s="9">
        <v>120</v>
      </c>
      <c r="D7" s="9">
        <v>149.6765</v>
      </c>
      <c r="E7" s="9">
        <v>29.676500000000001</v>
      </c>
      <c r="F7" s="9">
        <v>240</v>
      </c>
      <c r="G7" s="9">
        <v>299.35300000000001</v>
      </c>
      <c r="H7" s="118">
        <v>0.24730416666666671</v>
      </c>
    </row>
    <row r="8" spans="1:8" x14ac:dyDescent="0.3">
      <c r="A8" s="10">
        <v>5</v>
      </c>
      <c r="B8" s="11" t="s">
        <v>20</v>
      </c>
      <c r="C8" s="13">
        <v>120</v>
      </c>
      <c r="D8" s="13">
        <v>149.6765</v>
      </c>
      <c r="E8" s="13">
        <v>29.676500000000001</v>
      </c>
      <c r="F8" s="13">
        <v>256</v>
      </c>
      <c r="G8" s="13">
        <v>315.35300000000001</v>
      </c>
      <c r="H8" s="119">
        <v>0.24730416666666671</v>
      </c>
    </row>
    <row r="9" spans="1:8" x14ac:dyDescent="0.3">
      <c r="A9" s="10">
        <v>6</v>
      </c>
      <c r="B9" s="11" t="s">
        <v>22</v>
      </c>
      <c r="C9" s="13">
        <v>120</v>
      </c>
      <c r="D9" s="13">
        <v>149.6765</v>
      </c>
      <c r="E9" s="13">
        <v>29.676500000000001</v>
      </c>
      <c r="F9" s="13">
        <v>256</v>
      </c>
      <c r="G9" s="13">
        <v>315.35300000000001</v>
      </c>
      <c r="H9" s="119">
        <v>0.24730416666666671</v>
      </c>
    </row>
    <row r="10" spans="1:8" x14ac:dyDescent="0.3">
      <c r="A10" s="114">
        <v>7</v>
      </c>
      <c r="B10" s="115" t="s">
        <v>20</v>
      </c>
      <c r="C10" s="116">
        <v>120</v>
      </c>
      <c r="D10" s="116">
        <v>149.6765</v>
      </c>
      <c r="E10" s="116">
        <v>29.676500000000001</v>
      </c>
      <c r="F10" s="116">
        <v>240</v>
      </c>
      <c r="G10" s="116">
        <v>299.35300000000001</v>
      </c>
      <c r="H10" s="117">
        <v>0.24730416666666671</v>
      </c>
    </row>
    <row r="11" spans="1:8" x14ac:dyDescent="0.3">
      <c r="A11" s="6">
        <v>8</v>
      </c>
      <c r="B11" s="7" t="s">
        <v>20</v>
      </c>
      <c r="C11" s="9">
        <v>120</v>
      </c>
      <c r="D11" s="9">
        <v>149.6765</v>
      </c>
      <c r="E11" s="9">
        <v>29.676500000000001</v>
      </c>
      <c r="F11" s="9">
        <v>240</v>
      </c>
      <c r="G11" s="9">
        <v>299.35300000000001</v>
      </c>
      <c r="H11" s="118">
        <v>0.24730416666666671</v>
      </c>
    </row>
    <row r="12" spans="1:8" x14ac:dyDescent="0.3">
      <c r="A12" s="114">
        <v>9</v>
      </c>
      <c r="B12" s="115" t="s">
        <v>20</v>
      </c>
      <c r="C12" s="116">
        <v>120</v>
      </c>
      <c r="D12" s="116">
        <v>149.6765</v>
      </c>
      <c r="E12" s="116">
        <v>29.676500000000001</v>
      </c>
      <c r="F12" s="116">
        <v>240</v>
      </c>
      <c r="G12" s="116">
        <v>299.35300000000001</v>
      </c>
      <c r="H12" s="117">
        <v>0.24730416666666671</v>
      </c>
    </row>
    <row r="13" spans="1:8" x14ac:dyDescent="0.3">
      <c r="A13" s="6">
        <v>10</v>
      </c>
      <c r="B13" s="7" t="s">
        <v>20</v>
      </c>
      <c r="C13" s="9">
        <v>120</v>
      </c>
      <c r="D13" s="9">
        <v>149.6765</v>
      </c>
      <c r="E13" s="9">
        <v>29.676500000000001</v>
      </c>
      <c r="F13" s="9">
        <v>240</v>
      </c>
      <c r="G13" s="9">
        <v>299.35300000000001</v>
      </c>
      <c r="H13" s="118">
        <v>0.24730416666666671</v>
      </c>
    </row>
    <row r="14" spans="1:8" x14ac:dyDescent="0.3">
      <c r="A14" s="10">
        <v>11</v>
      </c>
      <c r="B14" s="11" t="s">
        <v>20</v>
      </c>
      <c r="C14" s="13">
        <v>120</v>
      </c>
      <c r="D14" s="13">
        <v>149.6765</v>
      </c>
      <c r="E14" s="13">
        <v>29.676500000000001</v>
      </c>
      <c r="F14" s="13">
        <v>256</v>
      </c>
      <c r="G14" s="13">
        <v>315.35300000000001</v>
      </c>
      <c r="H14" s="119">
        <v>0.24730416666666671</v>
      </c>
    </row>
    <row r="15" spans="1:8" x14ac:dyDescent="0.3">
      <c r="A15" s="10">
        <v>12</v>
      </c>
      <c r="B15" s="11" t="s">
        <v>29</v>
      </c>
      <c r="C15" s="13">
        <v>120</v>
      </c>
      <c r="D15" s="13">
        <v>149.6765</v>
      </c>
      <c r="E15" s="13">
        <v>29.676500000000001</v>
      </c>
      <c r="F15" s="13">
        <v>256</v>
      </c>
      <c r="G15" s="13">
        <v>315.35300000000001</v>
      </c>
      <c r="H15" s="119">
        <v>0.24730416666666671</v>
      </c>
    </row>
    <row r="16" spans="1:8" x14ac:dyDescent="0.3">
      <c r="A16" s="114">
        <v>13</v>
      </c>
      <c r="B16" s="115" t="s">
        <v>20</v>
      </c>
      <c r="C16" s="116">
        <v>120</v>
      </c>
      <c r="D16" s="116">
        <v>149.6765</v>
      </c>
      <c r="E16" s="116">
        <v>29.676500000000001</v>
      </c>
      <c r="F16" s="116">
        <v>240</v>
      </c>
      <c r="G16" s="116">
        <v>299.35300000000001</v>
      </c>
      <c r="H16" s="117">
        <v>0.24730416666666671</v>
      </c>
    </row>
    <row r="17" spans="1:8" x14ac:dyDescent="0.3">
      <c r="A17" s="6">
        <v>14</v>
      </c>
      <c r="B17" s="7" t="s">
        <v>20</v>
      </c>
      <c r="C17" s="9">
        <v>120</v>
      </c>
      <c r="D17" s="9">
        <v>149.6765</v>
      </c>
      <c r="E17" s="9">
        <v>29.676500000000001</v>
      </c>
      <c r="F17" s="9">
        <v>240</v>
      </c>
      <c r="G17" s="9">
        <v>299.35300000000001</v>
      </c>
      <c r="H17" s="118">
        <v>0.24730416666666671</v>
      </c>
    </row>
    <row r="18" spans="1:8" x14ac:dyDescent="0.3">
      <c r="A18" s="114">
        <v>15</v>
      </c>
      <c r="B18" s="115" t="s">
        <v>20</v>
      </c>
      <c r="C18" s="116">
        <v>120</v>
      </c>
      <c r="D18" s="116">
        <v>149.6765</v>
      </c>
      <c r="E18" s="116">
        <v>29.676500000000001</v>
      </c>
      <c r="F18" s="116">
        <v>240</v>
      </c>
      <c r="G18" s="116">
        <v>299.35300000000001</v>
      </c>
      <c r="H18" s="117">
        <v>0.24730416666666671</v>
      </c>
    </row>
    <row r="19" spans="1:8" x14ac:dyDescent="0.3">
      <c r="A19" s="6">
        <v>16</v>
      </c>
      <c r="B19" s="7" t="s">
        <v>20</v>
      </c>
      <c r="C19" s="9">
        <v>120</v>
      </c>
      <c r="D19" s="9">
        <v>149.6765</v>
      </c>
      <c r="E19" s="9">
        <v>29.676500000000001</v>
      </c>
      <c r="F19" s="9">
        <v>240</v>
      </c>
      <c r="G19" s="9">
        <v>299.35300000000001</v>
      </c>
      <c r="H19" s="118">
        <v>0.24730416666666671</v>
      </c>
    </row>
    <row r="20" spans="1:8" x14ac:dyDescent="0.3">
      <c r="A20" s="10">
        <v>17</v>
      </c>
      <c r="B20" s="11" t="s">
        <v>20</v>
      </c>
      <c r="C20" s="13">
        <v>120</v>
      </c>
      <c r="D20" s="13">
        <v>149.6765</v>
      </c>
      <c r="E20" s="13">
        <v>29.676500000000001</v>
      </c>
      <c r="F20" s="13">
        <v>256</v>
      </c>
      <c r="G20" s="13">
        <v>315.35300000000001</v>
      </c>
      <c r="H20" s="119">
        <v>0.24730416666666671</v>
      </c>
    </row>
    <row r="21" spans="1:8" x14ac:dyDescent="0.3">
      <c r="A21" s="10">
        <v>18</v>
      </c>
      <c r="B21" s="11" t="s">
        <v>36</v>
      </c>
      <c r="C21" s="13">
        <v>120</v>
      </c>
      <c r="D21" s="13">
        <v>149.6765</v>
      </c>
      <c r="E21" s="13">
        <v>29.676500000000001</v>
      </c>
      <c r="F21" s="13">
        <v>256</v>
      </c>
      <c r="G21" s="13">
        <v>315.35300000000001</v>
      </c>
      <c r="H21" s="119">
        <v>0.24730416666666671</v>
      </c>
    </row>
    <row r="22" spans="1:8" x14ac:dyDescent="0.3">
      <c r="A22" s="114">
        <v>19</v>
      </c>
      <c r="B22" s="115" t="s">
        <v>38</v>
      </c>
      <c r="C22" s="116">
        <v>120</v>
      </c>
      <c r="D22" s="116">
        <v>149.6765</v>
      </c>
      <c r="E22" s="116">
        <v>29.676500000000001</v>
      </c>
      <c r="F22" s="116">
        <v>240</v>
      </c>
      <c r="G22" s="116">
        <v>299.35300000000001</v>
      </c>
      <c r="H22" s="117">
        <v>0.24730416666666671</v>
      </c>
    </row>
    <row r="23" spans="1:8" x14ac:dyDescent="0.3">
      <c r="A23" s="6">
        <v>20</v>
      </c>
      <c r="B23" s="7" t="s">
        <v>38</v>
      </c>
      <c r="C23" s="9">
        <v>120</v>
      </c>
      <c r="D23" s="9">
        <v>149.6765</v>
      </c>
      <c r="E23" s="9">
        <v>29.676500000000001</v>
      </c>
      <c r="F23" s="9">
        <v>240</v>
      </c>
      <c r="G23" s="9">
        <v>299.35300000000001</v>
      </c>
      <c r="H23" s="118">
        <v>0.24730416666666671</v>
      </c>
    </row>
    <row r="24" spans="1:8" x14ac:dyDescent="0.3">
      <c r="A24" s="114">
        <v>21</v>
      </c>
      <c r="B24" s="115" t="s">
        <v>38</v>
      </c>
      <c r="C24" s="116">
        <v>120</v>
      </c>
      <c r="D24" s="116">
        <v>149.6765</v>
      </c>
      <c r="E24" s="116">
        <v>29.676500000000001</v>
      </c>
      <c r="F24" s="116">
        <v>240</v>
      </c>
      <c r="G24" s="116">
        <v>299.35300000000001</v>
      </c>
      <c r="H24" s="117">
        <v>0.24730416666666671</v>
      </c>
    </row>
    <row r="25" spans="1:8" x14ac:dyDescent="0.3">
      <c r="A25" s="6">
        <v>22</v>
      </c>
      <c r="B25" s="7" t="s">
        <v>42</v>
      </c>
      <c r="C25" s="9">
        <v>120</v>
      </c>
      <c r="D25" s="9">
        <v>158.6788</v>
      </c>
      <c r="E25" s="9">
        <v>38.678800000000003</v>
      </c>
      <c r="F25" s="9">
        <v>240</v>
      </c>
      <c r="G25" s="9">
        <v>317.35759999999999</v>
      </c>
      <c r="H25" s="118">
        <v>0.3223233333333333</v>
      </c>
    </row>
    <row r="26" spans="1:8" x14ac:dyDescent="0.3">
      <c r="A26" s="10">
        <v>23</v>
      </c>
      <c r="B26" s="11" t="s">
        <v>44</v>
      </c>
      <c r="C26" s="13">
        <v>120</v>
      </c>
      <c r="D26" s="13">
        <v>158.6788</v>
      </c>
      <c r="E26" s="13">
        <v>38.678800000000003</v>
      </c>
      <c r="F26" s="13">
        <v>256</v>
      </c>
      <c r="G26" s="13">
        <v>333.35759999999999</v>
      </c>
      <c r="H26" s="119">
        <v>0.3223233333333333</v>
      </c>
    </row>
    <row r="27" spans="1:8" x14ac:dyDescent="0.3">
      <c r="A27" s="6">
        <v>24</v>
      </c>
      <c r="B27" s="7" t="s">
        <v>46</v>
      </c>
      <c r="C27" s="9">
        <v>120</v>
      </c>
      <c r="D27" s="9">
        <v>158.6788</v>
      </c>
      <c r="E27" s="9">
        <v>38.678800000000003</v>
      </c>
      <c r="F27" s="9">
        <v>240</v>
      </c>
      <c r="G27" s="9">
        <v>317.35759999999999</v>
      </c>
      <c r="H27" s="118">
        <v>0.3223233333333333</v>
      </c>
    </row>
    <row r="28" spans="1:8" x14ac:dyDescent="0.3">
      <c r="A28" s="10">
        <v>25</v>
      </c>
      <c r="B28" s="11" t="s">
        <v>48</v>
      </c>
      <c r="C28" s="13">
        <v>120</v>
      </c>
      <c r="D28" s="13">
        <v>149.6765</v>
      </c>
      <c r="E28" s="13">
        <v>29.676500000000001</v>
      </c>
      <c r="F28" s="13">
        <v>256</v>
      </c>
      <c r="G28" s="13">
        <v>315.35300000000001</v>
      </c>
      <c r="H28" s="119">
        <v>0.24730416666666671</v>
      </c>
    </row>
    <row r="29" spans="1:8" x14ac:dyDescent="0.3">
      <c r="A29" s="144" t="s">
        <v>91</v>
      </c>
      <c r="B29" s="123"/>
      <c r="C29" s="120">
        <f>SUM(C4:C28)</f>
        <v>3000</v>
      </c>
      <c r="D29" s="120">
        <f>SUM(D4:D28)</f>
        <v>3768.9194000000007</v>
      </c>
      <c r="E29" s="120">
        <f>SUM(E4:E28)</f>
        <v>768.9194</v>
      </c>
      <c r="F29" s="120">
        <f>SUM(F4:F28)</f>
        <v>6128</v>
      </c>
      <c r="G29" s="120">
        <f>SUM(G4:G28)</f>
        <v>7665.8388000000014</v>
      </c>
      <c r="H29" s="121">
        <f>(G29-F29)/F29</f>
        <v>0.25095280678851195</v>
      </c>
    </row>
    <row r="31" spans="1:8" x14ac:dyDescent="0.3">
      <c r="A31" s="143" t="s">
        <v>166</v>
      </c>
      <c r="B31" s="123"/>
      <c r="C31" s="123"/>
      <c r="D31" s="123"/>
    </row>
    <row r="32" spans="1:8" x14ac:dyDescent="0.3">
      <c r="A32" s="146" t="s">
        <v>167</v>
      </c>
      <c r="B32" s="123"/>
      <c r="C32" s="142" t="s">
        <v>168</v>
      </c>
      <c r="D32" s="123"/>
    </row>
    <row r="33" spans="1:4" x14ac:dyDescent="0.3">
      <c r="A33" s="127" t="s">
        <v>169</v>
      </c>
      <c r="B33" s="123"/>
      <c r="C33" s="124" t="s">
        <v>170</v>
      </c>
      <c r="D33" s="123"/>
    </row>
    <row r="34" spans="1:4" x14ac:dyDescent="0.3">
      <c r="A34" s="146" t="s">
        <v>171</v>
      </c>
      <c r="B34" s="123"/>
      <c r="C34" s="142" t="s">
        <v>172</v>
      </c>
      <c r="D34" s="123"/>
    </row>
    <row r="35" spans="1:4" x14ac:dyDescent="0.3">
      <c r="A35" s="127" t="s">
        <v>173</v>
      </c>
      <c r="B35" s="123"/>
      <c r="C35" s="124" t="s">
        <v>174</v>
      </c>
      <c r="D35" s="123"/>
    </row>
    <row r="36" spans="1:4" x14ac:dyDescent="0.3">
      <c r="A36" s="146" t="s">
        <v>175</v>
      </c>
      <c r="B36" s="123"/>
      <c r="C36" s="142" t="s">
        <v>176</v>
      </c>
      <c r="D36" s="123"/>
    </row>
  </sheetData>
  <mergeCells count="14">
    <mergeCell ref="A2:H2"/>
    <mergeCell ref="A32:B32"/>
    <mergeCell ref="A36:B36"/>
    <mergeCell ref="C36:D36"/>
    <mergeCell ref="A1:H1"/>
    <mergeCell ref="A34:B34"/>
    <mergeCell ref="A35:B35"/>
    <mergeCell ref="C34:D34"/>
    <mergeCell ref="C35:D35"/>
    <mergeCell ref="A31:D31"/>
    <mergeCell ref="A29:B29"/>
    <mergeCell ref="C32:D32"/>
    <mergeCell ref="C33:D33"/>
    <mergeCell ref="A33: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OZET</vt:lpstr>
      <vt:lpstr>MODEL (cm)</vt:lpstr>
      <vt:lpstr>GERCEK (m)</vt:lpstr>
      <vt:lpstr>KÖPRÜ DETAY</vt:lpstr>
      <vt:lpstr>GRID</vt:lpstr>
      <vt:lpstr>KAT YÜKSEKLİKLERİ</vt:lpstr>
      <vt:lpstr>KULLANIM PLANI</vt:lpstr>
      <vt:lpstr>AUTOCAD ÖLÇÜM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MUHAMMET YAĞCIOĞLU</cp:lastModifiedBy>
  <dcterms:created xsi:type="dcterms:W3CDTF">2026-02-09T06:57:12Z</dcterms:created>
  <dcterms:modified xsi:type="dcterms:W3CDTF">2026-02-09T06:58:52Z</dcterms:modified>
</cp:coreProperties>
</file>